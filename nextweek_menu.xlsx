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jp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rawings/drawing2.xml" ContentType="application/vnd.openxmlformats-officedocument.drawing+xml"/>
  <Override PartName="/xl/comments2.xml" ContentType="application/vnd.openxmlformats-officedocument.spreadsheetml.comments+xml"/>
  <Override PartName="/xl/drawings/drawing3.xml" ContentType="application/vnd.openxmlformats-officedocument.drawing+xml"/>
  <Override PartName="/xl/comments3.xml" ContentType="application/vnd.openxmlformats-officedocument.spreadsheetml.comments+xml"/>
  <Override PartName="/xl/drawings/drawing4.xml" ContentType="application/vnd.openxmlformats-officedocument.drawing+xml"/>
  <Override PartName="/xl/comments4.xml" ContentType="application/vnd.openxmlformats-officedocument.spreadsheetml.comments+xml"/>
  <Override PartName="/xl/drawings/drawing5.xml" ContentType="application/vnd.openxmlformats-officedocument.drawing+xml"/>
  <Override PartName="/xl/comments5.xml" ContentType="application/vnd.openxmlformats-officedocument.spreadsheetml.comments+xml"/>
  <Override PartName="/xl/drawings/drawing6.xml" ContentType="application/vnd.openxmlformats-officedocument.drawing+xml"/>
  <Override PartName="/xl/comments6.xml" ContentType="application/vnd.openxmlformats-officedocument.spreadsheetml.comments+xml"/>
  <Override PartName="/xl/drawings/drawing7.xml" ContentType="application/vnd.openxmlformats-officedocument.drawing+xml"/>
  <Override PartName="/xl/comments7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\\EDA-NAM-NYAM\obmen\site_nam-nyam.ru\"/>
    </mc:Choice>
  </mc:AlternateContent>
  <workbookProtection workbookAlgorithmName="SHA-512" workbookHashValue="vzXtGr9LLl8tOqjwLeZ1wmdUxbHXl+6VpWj6x0h5IXlPUm6LI/E8w8PLuga+0oRy5sHeA0F1y0yWb+pMK9fVzA==" workbookSaltValue="upWV/wOJHWFPhWDAbw0UBg==" workbookSpinCount="100000" lockStructure="1"/>
  <bookViews>
    <workbookView xWindow="0" yWindow="0" windowWidth="27870" windowHeight="14355" activeTab="6"/>
  </bookViews>
  <sheets>
    <sheet name="01_12_2025" sheetId="1" r:id="rId1"/>
    <sheet name="02_12_2025" sheetId="2" r:id="rId2"/>
    <sheet name="03_12_2025" sheetId="3" r:id="rId3"/>
    <sheet name="04_12_2025" sheetId="4" r:id="rId4"/>
    <sheet name="05_12_2025" sheetId="5" r:id="rId5"/>
    <sheet name="06_12_2025" sheetId="6" r:id="rId6"/>
    <sheet name="07_12_2025" sheetId="7" r:id="rId7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B84" i="7" l="1"/>
  <c r="BA84" i="7"/>
  <c r="AZ84" i="7"/>
  <c r="AY84" i="7"/>
  <c r="AX84" i="7"/>
  <c r="AW84" i="7"/>
  <c r="AV84" i="7"/>
  <c r="AU84" i="7"/>
  <c r="AT84" i="7"/>
  <c r="AS84" i="7"/>
  <c r="AR84" i="7"/>
  <c r="AQ84" i="7"/>
  <c r="AP84" i="7"/>
  <c r="AO84" i="7"/>
  <c r="AN84" i="7"/>
  <c r="AM84" i="7"/>
  <c r="AL84" i="7"/>
  <c r="AK84" i="7"/>
  <c r="AJ84" i="7"/>
  <c r="AI84" i="7"/>
  <c r="AH84" i="7"/>
  <c r="AG84" i="7"/>
  <c r="AF84" i="7"/>
  <c r="AE84" i="7"/>
  <c r="AD84" i="7"/>
  <c r="AC84" i="7"/>
  <c r="AB84" i="7"/>
  <c r="AA84" i="7"/>
  <c r="Z84" i="7"/>
  <c r="Y84" i="7"/>
  <c r="X84" i="7"/>
  <c r="W84" i="7"/>
  <c r="V84" i="7"/>
  <c r="U84" i="7"/>
  <c r="T84" i="7"/>
  <c r="S84" i="7"/>
  <c r="R84" i="7"/>
  <c r="Q84" i="7"/>
  <c r="P84" i="7"/>
  <c r="O84" i="7"/>
  <c r="N84" i="7"/>
  <c r="M84" i="7"/>
  <c r="L84" i="7"/>
  <c r="K84" i="7"/>
  <c r="J84" i="7"/>
  <c r="I84" i="7"/>
  <c r="H84" i="7"/>
  <c r="G84" i="7"/>
  <c r="F84" i="7"/>
  <c r="E84" i="7"/>
  <c r="D84" i="7"/>
  <c r="C84" i="7"/>
  <c r="BB81" i="7"/>
  <c r="BA81" i="7"/>
  <c r="BB78" i="7"/>
  <c r="BA78" i="7"/>
  <c r="BB75" i="7"/>
  <c r="BA75" i="7"/>
  <c r="BB70" i="7"/>
  <c r="BA70" i="7"/>
  <c r="BB65" i="7"/>
  <c r="BA65" i="7"/>
  <c r="BB61" i="7"/>
  <c r="BA61" i="7"/>
  <c r="BB57" i="7"/>
  <c r="BA57" i="7"/>
  <c r="BB55" i="7"/>
  <c r="BA55" i="7"/>
  <c r="BB54" i="7"/>
  <c r="BA54" i="7"/>
  <c r="BB53" i="7"/>
  <c r="BA53" i="7"/>
  <c r="BB52" i="7"/>
  <c r="BA52" i="7"/>
  <c r="BB51" i="7"/>
  <c r="BA51" i="7"/>
  <c r="BB50" i="7"/>
  <c r="BA50" i="7"/>
  <c r="BB49" i="7"/>
  <c r="BA49" i="7"/>
  <c r="BB48" i="7"/>
  <c r="BA48" i="7"/>
  <c r="BB47" i="7"/>
  <c r="BA47" i="7"/>
  <c r="BB46" i="7"/>
  <c r="BA46" i="7"/>
  <c r="BB45" i="7"/>
  <c r="BA45" i="7"/>
  <c r="BB44" i="7"/>
  <c r="BA44" i="7"/>
  <c r="BB43" i="7"/>
  <c r="BA43" i="7"/>
  <c r="BB42" i="7"/>
  <c r="BA42" i="7"/>
  <c r="BB41" i="7"/>
  <c r="BA41" i="7"/>
  <c r="BB39" i="7"/>
  <c r="BA39" i="7"/>
  <c r="BB38" i="7"/>
  <c r="BA38" i="7"/>
  <c r="BB37" i="7"/>
  <c r="BA37" i="7"/>
  <c r="BB36" i="7"/>
  <c r="BA36" i="7"/>
  <c r="BB35" i="7"/>
  <c r="BA35" i="7"/>
  <c r="BB33" i="7"/>
  <c r="BA33" i="7"/>
  <c r="BB32" i="7"/>
  <c r="BA32" i="7"/>
  <c r="BB30" i="7"/>
  <c r="BA30" i="7"/>
  <c r="BB29" i="7"/>
  <c r="BA29" i="7"/>
  <c r="BB28" i="7"/>
  <c r="BA28" i="7"/>
  <c r="BB26" i="7"/>
  <c r="BA26" i="7"/>
  <c r="BB25" i="7"/>
  <c r="BA25" i="7"/>
  <c r="BB24" i="7"/>
  <c r="BA24" i="7"/>
  <c r="BB23" i="7"/>
  <c r="BA23" i="7"/>
  <c r="BB22" i="7"/>
  <c r="BA22" i="7"/>
  <c r="BB21" i="7"/>
  <c r="BA21" i="7"/>
  <c r="BB20" i="7"/>
  <c r="BA20" i="7"/>
  <c r="BB18" i="7"/>
  <c r="BA18" i="7"/>
  <c r="BB17" i="7"/>
  <c r="BA17" i="7"/>
  <c r="BB16" i="7"/>
  <c r="BA16" i="7"/>
  <c r="BB14" i="7"/>
  <c r="BA14" i="7"/>
  <c r="BB13" i="7"/>
  <c r="BA13" i="7"/>
  <c r="BB12" i="7"/>
  <c r="BA12" i="7"/>
  <c r="BB11" i="7"/>
  <c r="BA11" i="7"/>
  <c r="BB10" i="7"/>
  <c r="BA10" i="7"/>
  <c r="BB140" i="6"/>
  <c r="BA140" i="6"/>
  <c r="AZ140" i="6"/>
  <c r="AY140" i="6"/>
  <c r="AX140" i="6"/>
  <c r="AW140" i="6"/>
  <c r="AV140" i="6"/>
  <c r="AU140" i="6"/>
  <c r="AT140" i="6"/>
  <c r="AS140" i="6"/>
  <c r="AR140" i="6"/>
  <c r="AQ140" i="6"/>
  <c r="AP140" i="6"/>
  <c r="AO140" i="6"/>
  <c r="AN140" i="6"/>
  <c r="AM140" i="6"/>
  <c r="AL140" i="6"/>
  <c r="AK140" i="6"/>
  <c r="AJ140" i="6"/>
  <c r="AI140" i="6"/>
  <c r="AH140" i="6"/>
  <c r="AG140" i="6"/>
  <c r="AF140" i="6"/>
  <c r="AE140" i="6"/>
  <c r="AD140" i="6"/>
  <c r="AC140" i="6"/>
  <c r="AB140" i="6"/>
  <c r="AA140" i="6"/>
  <c r="Z140" i="6"/>
  <c r="Y140" i="6"/>
  <c r="X140" i="6"/>
  <c r="W140" i="6"/>
  <c r="V140" i="6"/>
  <c r="U140" i="6"/>
  <c r="T140" i="6"/>
  <c r="S140" i="6"/>
  <c r="R140" i="6"/>
  <c r="Q140" i="6"/>
  <c r="P140" i="6"/>
  <c r="O140" i="6"/>
  <c r="N140" i="6"/>
  <c r="M140" i="6"/>
  <c r="L140" i="6"/>
  <c r="K140" i="6"/>
  <c r="J140" i="6"/>
  <c r="I140" i="6"/>
  <c r="H140" i="6"/>
  <c r="G140" i="6"/>
  <c r="F140" i="6"/>
  <c r="E140" i="6"/>
  <c r="D140" i="6"/>
  <c r="C140" i="6"/>
  <c r="BB137" i="6"/>
  <c r="BA137" i="6"/>
  <c r="BB134" i="6"/>
  <c r="BA134" i="6"/>
  <c r="BB130" i="6"/>
  <c r="BA130" i="6"/>
  <c r="BB126" i="6"/>
  <c r="BA126" i="6"/>
  <c r="BB120" i="6"/>
  <c r="BA120" i="6"/>
  <c r="BB115" i="6"/>
  <c r="BA115" i="6"/>
  <c r="BB111" i="6"/>
  <c r="BA111" i="6"/>
  <c r="BB109" i="6"/>
  <c r="BA109" i="6"/>
  <c r="BB108" i="6"/>
  <c r="BA108" i="6"/>
  <c r="BB107" i="6"/>
  <c r="BA107" i="6"/>
  <c r="BB106" i="6"/>
  <c r="BA106" i="6"/>
  <c r="BB105" i="6"/>
  <c r="BA105" i="6"/>
  <c r="BB104" i="6"/>
  <c r="BA104" i="6"/>
  <c r="BB103" i="6"/>
  <c r="BA103" i="6"/>
  <c r="BB102" i="6"/>
  <c r="BA102" i="6"/>
  <c r="BB101" i="6"/>
  <c r="BA101" i="6"/>
  <c r="BB100" i="6"/>
  <c r="BA100" i="6"/>
  <c r="BB99" i="6"/>
  <c r="BA99" i="6"/>
  <c r="BB98" i="6"/>
  <c r="BA98" i="6"/>
  <c r="BB97" i="6"/>
  <c r="BA97" i="6"/>
  <c r="BB96" i="6"/>
  <c r="BA96" i="6"/>
  <c r="BB95" i="6"/>
  <c r="BA95" i="6"/>
  <c r="BB93" i="6"/>
  <c r="BA93" i="6"/>
  <c r="BB92" i="6"/>
  <c r="BA92" i="6"/>
  <c r="BB91" i="6"/>
  <c r="BA91" i="6"/>
  <c r="BB90" i="6"/>
  <c r="BA90" i="6"/>
  <c r="BB89" i="6"/>
  <c r="BA89" i="6"/>
  <c r="BB88" i="6"/>
  <c r="BA88" i="6"/>
  <c r="BB87" i="6"/>
  <c r="BA87" i="6"/>
  <c r="BB86" i="6"/>
  <c r="BA86" i="6"/>
  <c r="BB85" i="6"/>
  <c r="BA85" i="6"/>
  <c r="BB84" i="6"/>
  <c r="BA84" i="6"/>
  <c r="BB83" i="6"/>
  <c r="BA83" i="6"/>
  <c r="BB82" i="6"/>
  <c r="BA82" i="6"/>
  <c r="BB81" i="6"/>
  <c r="BA81" i="6"/>
  <c r="BB80" i="6"/>
  <c r="BA80" i="6"/>
  <c r="BB78" i="6"/>
  <c r="BA78" i="6"/>
  <c r="BB77" i="6"/>
  <c r="BA77" i="6"/>
  <c r="BB76" i="6"/>
  <c r="BA76" i="6"/>
  <c r="BB75" i="6"/>
  <c r="BA75" i="6"/>
  <c r="BB74" i="6"/>
  <c r="BA74" i="6"/>
  <c r="BB73" i="6"/>
  <c r="BA73" i="6"/>
  <c r="BB72" i="6"/>
  <c r="BA72" i="6"/>
  <c r="BB70" i="6"/>
  <c r="BA70" i="6"/>
  <c r="BB69" i="6"/>
  <c r="BA69" i="6"/>
  <c r="BB68" i="6"/>
  <c r="BA68" i="6"/>
  <c r="BB67" i="6"/>
  <c r="BA67" i="6"/>
  <c r="BB66" i="6"/>
  <c r="BA66" i="6"/>
  <c r="BB64" i="6"/>
  <c r="BA64" i="6"/>
  <c r="BB63" i="6"/>
  <c r="BA63" i="6"/>
  <c r="BB62" i="6"/>
  <c r="BA62" i="6"/>
  <c r="BB61" i="6"/>
  <c r="BA61" i="6"/>
  <c r="BB60" i="6"/>
  <c r="BA60" i="6"/>
  <c r="BB59" i="6"/>
  <c r="BA59" i="6"/>
  <c r="BB58" i="6"/>
  <c r="BA58" i="6"/>
  <c r="BB56" i="6"/>
  <c r="BA56" i="6"/>
  <c r="BB55" i="6"/>
  <c r="BA55" i="6"/>
  <c r="BB54" i="6"/>
  <c r="BA54" i="6"/>
  <c r="BB52" i="6"/>
  <c r="BA52" i="6"/>
  <c r="BB51" i="6"/>
  <c r="BA51" i="6"/>
  <c r="BB50" i="6"/>
  <c r="BA50" i="6"/>
  <c r="BB49" i="6"/>
  <c r="BA49" i="6"/>
  <c r="BB48" i="6"/>
  <c r="BA48" i="6"/>
  <c r="BB47" i="6"/>
  <c r="BA47" i="6"/>
  <c r="BB46" i="6"/>
  <c r="BA46" i="6"/>
  <c r="BB45" i="6"/>
  <c r="BA45" i="6"/>
  <c r="BB44" i="6"/>
  <c r="BA44" i="6"/>
  <c r="BB43" i="6"/>
  <c r="BA43" i="6"/>
  <c r="BB42" i="6"/>
  <c r="BA42" i="6"/>
  <c r="BB41" i="6"/>
  <c r="BA41" i="6"/>
  <c r="BB40" i="6"/>
  <c r="BA40" i="6"/>
  <c r="BB39" i="6"/>
  <c r="BA39" i="6"/>
  <c r="BB38" i="6"/>
  <c r="BA38" i="6"/>
  <c r="BB37" i="6"/>
  <c r="BA37" i="6"/>
  <c r="BB36" i="6"/>
  <c r="BA36" i="6"/>
  <c r="BB35" i="6"/>
  <c r="BA35" i="6"/>
  <c r="BB34" i="6"/>
  <c r="BA34" i="6"/>
  <c r="BB33" i="6"/>
  <c r="BA33" i="6"/>
  <c r="BB32" i="6"/>
  <c r="BA32" i="6"/>
  <c r="BB30" i="6"/>
  <c r="BA30" i="6"/>
  <c r="BB29" i="6"/>
  <c r="BA29" i="6"/>
  <c r="BB27" i="6"/>
  <c r="BA27" i="6"/>
  <c r="BB26" i="6"/>
  <c r="BA26" i="6"/>
  <c r="BB25" i="6"/>
  <c r="BA25" i="6"/>
  <c r="BB24" i="6"/>
  <c r="BA24" i="6"/>
  <c r="BB23" i="6"/>
  <c r="BA23" i="6"/>
  <c r="BB21" i="6"/>
  <c r="BA21" i="6"/>
  <c r="BB20" i="6"/>
  <c r="BA20" i="6"/>
  <c r="BB19" i="6"/>
  <c r="BA19" i="6"/>
  <c r="BB18" i="6"/>
  <c r="BA18" i="6"/>
  <c r="BB17" i="6"/>
  <c r="BA17" i="6"/>
  <c r="BB16" i="6"/>
  <c r="BA16" i="6"/>
  <c r="BB15" i="6"/>
  <c r="BA15" i="6"/>
  <c r="BB14" i="6"/>
  <c r="BA14" i="6"/>
  <c r="BB13" i="6"/>
  <c r="BA13" i="6"/>
  <c r="BB12" i="6"/>
  <c r="BA12" i="6"/>
  <c r="BB11" i="6"/>
  <c r="BA11" i="6"/>
  <c r="BB10" i="6"/>
  <c r="BA10" i="6"/>
  <c r="BB217" i="5"/>
  <c r="BA217" i="5"/>
  <c r="AZ217" i="5"/>
  <c r="AY217" i="5"/>
  <c r="AX217" i="5"/>
  <c r="AW217" i="5"/>
  <c r="AV217" i="5"/>
  <c r="AU217" i="5"/>
  <c r="AT217" i="5"/>
  <c r="AS217" i="5"/>
  <c r="AR217" i="5"/>
  <c r="AQ217" i="5"/>
  <c r="AP217" i="5"/>
  <c r="AO217" i="5"/>
  <c r="AN217" i="5"/>
  <c r="AM217" i="5"/>
  <c r="AL217" i="5"/>
  <c r="AK217" i="5"/>
  <c r="AJ217" i="5"/>
  <c r="AI217" i="5"/>
  <c r="AH217" i="5"/>
  <c r="AG217" i="5"/>
  <c r="AF217" i="5"/>
  <c r="AE217" i="5"/>
  <c r="AD217" i="5"/>
  <c r="AC217" i="5"/>
  <c r="AB217" i="5"/>
  <c r="AA217" i="5"/>
  <c r="Z217" i="5"/>
  <c r="Y217" i="5"/>
  <c r="X217" i="5"/>
  <c r="W217" i="5"/>
  <c r="V217" i="5"/>
  <c r="U217" i="5"/>
  <c r="T217" i="5"/>
  <c r="S217" i="5"/>
  <c r="R217" i="5"/>
  <c r="Q217" i="5"/>
  <c r="P217" i="5"/>
  <c r="O217" i="5"/>
  <c r="N217" i="5"/>
  <c r="M217" i="5"/>
  <c r="L217" i="5"/>
  <c r="K217" i="5"/>
  <c r="J217" i="5"/>
  <c r="I217" i="5"/>
  <c r="H217" i="5"/>
  <c r="G217" i="5"/>
  <c r="F217" i="5"/>
  <c r="E217" i="5"/>
  <c r="D217" i="5"/>
  <c r="C217" i="5"/>
  <c r="BB214" i="5"/>
  <c r="BA214" i="5"/>
  <c r="BB211" i="5"/>
  <c r="BA211" i="5"/>
  <c r="BB208" i="5"/>
  <c r="BA208" i="5"/>
  <c r="BB205" i="5"/>
  <c r="BA205" i="5"/>
  <c r="BB200" i="5"/>
  <c r="BA200" i="5"/>
  <c r="BB196" i="5"/>
  <c r="BA196" i="5"/>
  <c r="BB191" i="5"/>
  <c r="BA191" i="5"/>
  <c r="BB187" i="5"/>
  <c r="BA187" i="5"/>
  <c r="BB183" i="5"/>
  <c r="BA183" i="5"/>
  <c r="BB181" i="5"/>
  <c r="BA181" i="5"/>
  <c r="BB180" i="5"/>
  <c r="BA180" i="5"/>
  <c r="BB179" i="5"/>
  <c r="BA179" i="5"/>
  <c r="BB178" i="5"/>
  <c r="BA178" i="5"/>
  <c r="BB177" i="5"/>
  <c r="BA177" i="5"/>
  <c r="BB176" i="5"/>
  <c r="BA176" i="5"/>
  <c r="BB175" i="5"/>
  <c r="BA175" i="5"/>
  <c r="BB174" i="5"/>
  <c r="BA174" i="5"/>
  <c r="BB173" i="5"/>
  <c r="BA173" i="5"/>
  <c r="BB172" i="5"/>
  <c r="BA172" i="5"/>
  <c r="BB171" i="5"/>
  <c r="BA171" i="5"/>
  <c r="BB170" i="5"/>
  <c r="BA170" i="5"/>
  <c r="BB169" i="5"/>
  <c r="BA169" i="5"/>
  <c r="BB168" i="5"/>
  <c r="BA168" i="5"/>
  <c r="BB167" i="5"/>
  <c r="BA167" i="5"/>
  <c r="BB166" i="5"/>
  <c r="BA166" i="5"/>
  <c r="BB165" i="5"/>
  <c r="BA165" i="5"/>
  <c r="BB164" i="5"/>
  <c r="BA164" i="5"/>
  <c r="BB163" i="5"/>
  <c r="BA163" i="5"/>
  <c r="BB161" i="5"/>
  <c r="BA161" i="5"/>
  <c r="BB160" i="5"/>
  <c r="BA160" i="5"/>
  <c r="BB159" i="5"/>
  <c r="BA159" i="5"/>
  <c r="BB158" i="5"/>
  <c r="BA158" i="5"/>
  <c r="BB157" i="5"/>
  <c r="BA157" i="5"/>
  <c r="BB156" i="5"/>
  <c r="BA156" i="5"/>
  <c r="BB155" i="5"/>
  <c r="BA155" i="5"/>
  <c r="BB154" i="5"/>
  <c r="BA154" i="5"/>
  <c r="BB153" i="5"/>
  <c r="BA153" i="5"/>
  <c r="BB152" i="5"/>
  <c r="BA152" i="5"/>
  <c r="BB151" i="5"/>
  <c r="BA151" i="5"/>
  <c r="BB150" i="5"/>
  <c r="BA150" i="5"/>
  <c r="BB149" i="5"/>
  <c r="BA149" i="5"/>
  <c r="BB148" i="5"/>
  <c r="BA148" i="5"/>
  <c r="BB147" i="5"/>
  <c r="BA147" i="5"/>
  <c r="BB146" i="5"/>
  <c r="BA146" i="5"/>
  <c r="BB145" i="5"/>
  <c r="BA145" i="5"/>
  <c r="BB144" i="5"/>
  <c r="BA144" i="5"/>
  <c r="BB143" i="5"/>
  <c r="BA143" i="5"/>
  <c r="BB142" i="5"/>
  <c r="BA142" i="5"/>
  <c r="BB141" i="5"/>
  <c r="BA141" i="5"/>
  <c r="BB140" i="5"/>
  <c r="BA140" i="5"/>
  <c r="BB139" i="5"/>
  <c r="BA139" i="5"/>
  <c r="BB137" i="5"/>
  <c r="BA137" i="5"/>
  <c r="BB136" i="5"/>
  <c r="BA136" i="5"/>
  <c r="BB135" i="5"/>
  <c r="BA135" i="5"/>
  <c r="BB134" i="5"/>
  <c r="BA134" i="5"/>
  <c r="BB133" i="5"/>
  <c r="BA133" i="5"/>
  <c r="BB132" i="5"/>
  <c r="BA132" i="5"/>
  <c r="BB131" i="5"/>
  <c r="BA131" i="5"/>
  <c r="BB130" i="5"/>
  <c r="BA130" i="5"/>
  <c r="BB129" i="5"/>
  <c r="BA129" i="5"/>
  <c r="BB128" i="5"/>
  <c r="BA128" i="5"/>
  <c r="BB127" i="5"/>
  <c r="BA127" i="5"/>
  <c r="BB126" i="5"/>
  <c r="BA126" i="5"/>
  <c r="BB125" i="5"/>
  <c r="BA125" i="5"/>
  <c r="BB124" i="5"/>
  <c r="BA124" i="5"/>
  <c r="BB123" i="5"/>
  <c r="BA123" i="5"/>
  <c r="BB122" i="5"/>
  <c r="BA122" i="5"/>
  <c r="BB121" i="5"/>
  <c r="BA121" i="5"/>
  <c r="BB120" i="5"/>
  <c r="BA120" i="5"/>
  <c r="BB118" i="5"/>
  <c r="BA118" i="5"/>
  <c r="BB117" i="5"/>
  <c r="BA117" i="5"/>
  <c r="BB116" i="5"/>
  <c r="BA116" i="5"/>
  <c r="BB115" i="5"/>
  <c r="BA115" i="5"/>
  <c r="BB114" i="5"/>
  <c r="BA114" i="5"/>
  <c r="BB112" i="5"/>
  <c r="BA112" i="5"/>
  <c r="BB111" i="5"/>
  <c r="BA111" i="5"/>
  <c r="BB110" i="5"/>
  <c r="BA110" i="5"/>
  <c r="BB109" i="5"/>
  <c r="BA109" i="5"/>
  <c r="BB108" i="5"/>
  <c r="BA108" i="5"/>
  <c r="BB107" i="5"/>
  <c r="BA107" i="5"/>
  <c r="BB106" i="5"/>
  <c r="BA106" i="5"/>
  <c r="BB105" i="5"/>
  <c r="BA105" i="5"/>
  <c r="BB104" i="5"/>
  <c r="BA104" i="5"/>
  <c r="BB103" i="5"/>
  <c r="BA103" i="5"/>
  <c r="BB102" i="5"/>
  <c r="BA102" i="5"/>
  <c r="BB100" i="5"/>
  <c r="BA100" i="5"/>
  <c r="BB99" i="5"/>
  <c r="BA99" i="5"/>
  <c r="BB98" i="5"/>
  <c r="BA98" i="5"/>
  <c r="BB97" i="5"/>
  <c r="BA97" i="5"/>
  <c r="BB95" i="5"/>
  <c r="BA95" i="5"/>
  <c r="BB94" i="5"/>
  <c r="BA94" i="5"/>
  <c r="BB93" i="5"/>
  <c r="BA93" i="5"/>
  <c r="BB92" i="5"/>
  <c r="BA92" i="5"/>
  <c r="BB91" i="5"/>
  <c r="BA91" i="5"/>
  <c r="BB90" i="5"/>
  <c r="BA90" i="5"/>
  <c r="BB89" i="5"/>
  <c r="BA89" i="5"/>
  <c r="BB88" i="5"/>
  <c r="BA88" i="5"/>
  <c r="BB87" i="5"/>
  <c r="BA87" i="5"/>
  <c r="BB86" i="5"/>
  <c r="BA86" i="5"/>
  <c r="BB85" i="5"/>
  <c r="BA85" i="5"/>
  <c r="BB84" i="5"/>
  <c r="BA84" i="5"/>
  <c r="BB83" i="5"/>
  <c r="BA83" i="5"/>
  <c r="BB82" i="5"/>
  <c r="BA82" i="5"/>
  <c r="BB81" i="5"/>
  <c r="BA81" i="5"/>
  <c r="BB80" i="5"/>
  <c r="BA80" i="5"/>
  <c r="BB79" i="5"/>
  <c r="BA79" i="5"/>
  <c r="BB78" i="5"/>
  <c r="BA78" i="5"/>
  <c r="BB77" i="5"/>
  <c r="BA77" i="5"/>
  <c r="BB76" i="5"/>
  <c r="BA76" i="5"/>
  <c r="BB75" i="5"/>
  <c r="BA75" i="5"/>
  <c r="BB74" i="5"/>
  <c r="BA74" i="5"/>
  <c r="BB73" i="5"/>
  <c r="BA73" i="5"/>
  <c r="BB72" i="5"/>
  <c r="BA72" i="5"/>
  <c r="BB71" i="5"/>
  <c r="BA71" i="5"/>
  <c r="BB70" i="5"/>
  <c r="BA70" i="5"/>
  <c r="BB69" i="5"/>
  <c r="BA69" i="5"/>
  <c r="BB68" i="5"/>
  <c r="BA68" i="5"/>
  <c r="BB67" i="5"/>
  <c r="BA67" i="5"/>
  <c r="BB66" i="5"/>
  <c r="BA66" i="5"/>
  <c r="BB65" i="5"/>
  <c r="BA65" i="5"/>
  <c r="BB64" i="5"/>
  <c r="BA64" i="5"/>
  <c r="BB63" i="5"/>
  <c r="BA63" i="5"/>
  <c r="BB62" i="5"/>
  <c r="BA62" i="5"/>
  <c r="BB61" i="5"/>
  <c r="BA61" i="5"/>
  <c r="BB60" i="5"/>
  <c r="BA60" i="5"/>
  <c r="BB59" i="5"/>
  <c r="BA59" i="5"/>
  <c r="BB58" i="5"/>
  <c r="BA58" i="5"/>
  <c r="BB57" i="5"/>
  <c r="BA57" i="5"/>
  <c r="BB56" i="5"/>
  <c r="BA56" i="5"/>
  <c r="BB55" i="5"/>
  <c r="BA55" i="5"/>
  <c r="BB54" i="5"/>
  <c r="BA54" i="5"/>
  <c r="BB53" i="5"/>
  <c r="BA53" i="5"/>
  <c r="BB52" i="5"/>
  <c r="BA52" i="5"/>
  <c r="BB51" i="5"/>
  <c r="BA51" i="5"/>
  <c r="BB50" i="5"/>
  <c r="BA50" i="5"/>
  <c r="BB49" i="5"/>
  <c r="BA49" i="5"/>
  <c r="BB47" i="5"/>
  <c r="BA47" i="5"/>
  <c r="BB46" i="5"/>
  <c r="BA46" i="5"/>
  <c r="BB44" i="5"/>
  <c r="BA44" i="5"/>
  <c r="BB43" i="5"/>
  <c r="BA43" i="5"/>
  <c r="BB42" i="5"/>
  <c r="BA42" i="5"/>
  <c r="BB41" i="5"/>
  <c r="BA41" i="5"/>
  <c r="BB40" i="5"/>
  <c r="BA40" i="5"/>
  <c r="BB39" i="5"/>
  <c r="BA39" i="5"/>
  <c r="BB38" i="5"/>
  <c r="BA38" i="5"/>
  <c r="BB37" i="5"/>
  <c r="BA37" i="5"/>
  <c r="BB36" i="5"/>
  <c r="BA36" i="5"/>
  <c r="BB35" i="5"/>
  <c r="BA35" i="5"/>
  <c r="BB34" i="5"/>
  <c r="BA34" i="5"/>
  <c r="BB32" i="5"/>
  <c r="BA32" i="5"/>
  <c r="BB31" i="5"/>
  <c r="BA31" i="5"/>
  <c r="BB30" i="5"/>
  <c r="BA30" i="5"/>
  <c r="BB29" i="5"/>
  <c r="BA29" i="5"/>
  <c r="BB28" i="5"/>
  <c r="BA28" i="5"/>
  <c r="BB27" i="5"/>
  <c r="BA27" i="5"/>
  <c r="BB26" i="5"/>
  <c r="BA26" i="5"/>
  <c r="BB25" i="5"/>
  <c r="BA25" i="5"/>
  <c r="BB24" i="5"/>
  <c r="BA24" i="5"/>
  <c r="BB23" i="5"/>
  <c r="BA23" i="5"/>
  <c r="BB22" i="5"/>
  <c r="BA22" i="5"/>
  <c r="BB21" i="5"/>
  <c r="BA21" i="5"/>
  <c r="BB20" i="5"/>
  <c r="BA20" i="5"/>
  <c r="BB19" i="5"/>
  <c r="BA19" i="5"/>
  <c r="BB18" i="5"/>
  <c r="BA18" i="5"/>
  <c r="BB17" i="5"/>
  <c r="BA17" i="5"/>
  <c r="BB16" i="5"/>
  <c r="BA16" i="5"/>
  <c r="BB15" i="5"/>
  <c r="BA15" i="5"/>
  <c r="BB14" i="5"/>
  <c r="BA14" i="5"/>
  <c r="BB13" i="5"/>
  <c r="BA13" i="5"/>
  <c r="BB12" i="5"/>
  <c r="BA12" i="5"/>
  <c r="BB11" i="5"/>
  <c r="BA11" i="5"/>
  <c r="BB10" i="5"/>
  <c r="BA10" i="5"/>
  <c r="BB214" i="4"/>
  <c r="BA214" i="4"/>
  <c r="AZ214" i="4"/>
  <c r="AY214" i="4"/>
  <c r="AX214" i="4"/>
  <c r="AW214" i="4"/>
  <c r="AV214" i="4"/>
  <c r="AU214" i="4"/>
  <c r="AT214" i="4"/>
  <c r="AS214" i="4"/>
  <c r="AR214" i="4"/>
  <c r="AQ214" i="4"/>
  <c r="AP214" i="4"/>
  <c r="AO214" i="4"/>
  <c r="AN214" i="4"/>
  <c r="AM214" i="4"/>
  <c r="AL214" i="4"/>
  <c r="AK214" i="4"/>
  <c r="AJ214" i="4"/>
  <c r="AI214" i="4"/>
  <c r="AH214" i="4"/>
  <c r="AG214" i="4"/>
  <c r="AF214" i="4"/>
  <c r="AE214" i="4"/>
  <c r="AD214" i="4"/>
  <c r="AC214" i="4"/>
  <c r="AB214" i="4"/>
  <c r="AA214" i="4"/>
  <c r="Z214" i="4"/>
  <c r="Y214" i="4"/>
  <c r="X214" i="4"/>
  <c r="W214" i="4"/>
  <c r="V214" i="4"/>
  <c r="U214" i="4"/>
  <c r="T214" i="4"/>
  <c r="S214" i="4"/>
  <c r="R214" i="4"/>
  <c r="Q214" i="4"/>
  <c r="P214" i="4"/>
  <c r="O214" i="4"/>
  <c r="N214" i="4"/>
  <c r="M214" i="4"/>
  <c r="L214" i="4"/>
  <c r="K214" i="4"/>
  <c r="J214" i="4"/>
  <c r="I214" i="4"/>
  <c r="H214" i="4"/>
  <c r="G214" i="4"/>
  <c r="F214" i="4"/>
  <c r="E214" i="4"/>
  <c r="D214" i="4"/>
  <c r="C214" i="4"/>
  <c r="BB211" i="4"/>
  <c r="BA211" i="4"/>
  <c r="BB208" i="4"/>
  <c r="BA208" i="4"/>
  <c r="BB204" i="4"/>
  <c r="BA204" i="4"/>
  <c r="BB201" i="4"/>
  <c r="BA201" i="4"/>
  <c r="BB196" i="4"/>
  <c r="BA196" i="4"/>
  <c r="BB192" i="4"/>
  <c r="BA192" i="4"/>
  <c r="BB187" i="4"/>
  <c r="BA187" i="4"/>
  <c r="BB183" i="4"/>
  <c r="BA183" i="4"/>
  <c r="BB179" i="4"/>
  <c r="BA179" i="4"/>
  <c r="BB177" i="4"/>
  <c r="BA177" i="4"/>
  <c r="BB176" i="4"/>
  <c r="BA176" i="4"/>
  <c r="BB175" i="4"/>
  <c r="BA175" i="4"/>
  <c r="BB174" i="4"/>
  <c r="BA174" i="4"/>
  <c r="BB173" i="4"/>
  <c r="BA173" i="4"/>
  <c r="BB172" i="4"/>
  <c r="BA172" i="4"/>
  <c r="BB171" i="4"/>
  <c r="BA171" i="4"/>
  <c r="BB170" i="4"/>
  <c r="BA170" i="4"/>
  <c r="BB169" i="4"/>
  <c r="BA169" i="4"/>
  <c r="BB168" i="4"/>
  <c r="BA168" i="4"/>
  <c r="BB167" i="4"/>
  <c r="BA167" i="4"/>
  <c r="BB166" i="4"/>
  <c r="BA166" i="4"/>
  <c r="BB165" i="4"/>
  <c r="BA165" i="4"/>
  <c r="BB164" i="4"/>
  <c r="BA164" i="4"/>
  <c r="BB163" i="4"/>
  <c r="BA163" i="4"/>
  <c r="BB162" i="4"/>
  <c r="BA162" i="4"/>
  <c r="BB161" i="4"/>
  <c r="BA161" i="4"/>
  <c r="BB160" i="4"/>
  <c r="BA160" i="4"/>
  <c r="BB158" i="4"/>
  <c r="BA158" i="4"/>
  <c r="BB157" i="4"/>
  <c r="BA157" i="4"/>
  <c r="BB156" i="4"/>
  <c r="BA156" i="4"/>
  <c r="BB155" i="4"/>
  <c r="BA155" i="4"/>
  <c r="BB154" i="4"/>
  <c r="BA154" i="4"/>
  <c r="BB153" i="4"/>
  <c r="BA153" i="4"/>
  <c r="BB152" i="4"/>
  <c r="BA152" i="4"/>
  <c r="BB151" i="4"/>
  <c r="BA151" i="4"/>
  <c r="BB150" i="4"/>
  <c r="BA150" i="4"/>
  <c r="BB149" i="4"/>
  <c r="BA149" i="4"/>
  <c r="BB148" i="4"/>
  <c r="BA148" i="4"/>
  <c r="BB147" i="4"/>
  <c r="BA147" i="4"/>
  <c r="BB146" i="4"/>
  <c r="BA146" i="4"/>
  <c r="BB145" i="4"/>
  <c r="BA145" i="4"/>
  <c r="BB144" i="4"/>
  <c r="BA144" i="4"/>
  <c r="BB143" i="4"/>
  <c r="BA143" i="4"/>
  <c r="BB142" i="4"/>
  <c r="BA142" i="4"/>
  <c r="BB141" i="4"/>
  <c r="BA141" i="4"/>
  <c r="BB140" i="4"/>
  <c r="BA140" i="4"/>
  <c r="BB139" i="4"/>
  <c r="BA139" i="4"/>
  <c r="BB138" i="4"/>
  <c r="BA138" i="4"/>
  <c r="BB137" i="4"/>
  <c r="BA137" i="4"/>
  <c r="BB136" i="4"/>
  <c r="BA136" i="4"/>
  <c r="BB134" i="4"/>
  <c r="BA134" i="4"/>
  <c r="BB133" i="4"/>
  <c r="BA133" i="4"/>
  <c r="BB132" i="4"/>
  <c r="BA132" i="4"/>
  <c r="BB131" i="4"/>
  <c r="BA131" i="4"/>
  <c r="BB130" i="4"/>
  <c r="BA130" i="4"/>
  <c r="BB129" i="4"/>
  <c r="BA129" i="4"/>
  <c r="BB128" i="4"/>
  <c r="BA128" i="4"/>
  <c r="BB127" i="4"/>
  <c r="BA127" i="4"/>
  <c r="BB126" i="4"/>
  <c r="BA126" i="4"/>
  <c r="BB125" i="4"/>
  <c r="BA125" i="4"/>
  <c r="BB124" i="4"/>
  <c r="BA124" i="4"/>
  <c r="BB123" i="4"/>
  <c r="BA123" i="4"/>
  <c r="BB122" i="4"/>
  <c r="BA122" i="4"/>
  <c r="BB121" i="4"/>
  <c r="BA121" i="4"/>
  <c r="BB120" i="4"/>
  <c r="BA120" i="4"/>
  <c r="BB119" i="4"/>
  <c r="BA119" i="4"/>
  <c r="BB118" i="4"/>
  <c r="BA118" i="4"/>
  <c r="BB117" i="4"/>
  <c r="BA117" i="4"/>
  <c r="BB115" i="4"/>
  <c r="BA115" i="4"/>
  <c r="BB114" i="4"/>
  <c r="BA114" i="4"/>
  <c r="BB113" i="4"/>
  <c r="BA113" i="4"/>
  <c r="BB112" i="4"/>
  <c r="BA112" i="4"/>
  <c r="BB111" i="4"/>
  <c r="BA111" i="4"/>
  <c r="BB109" i="4"/>
  <c r="BA109" i="4"/>
  <c r="BB108" i="4"/>
  <c r="BA108" i="4"/>
  <c r="BB107" i="4"/>
  <c r="BA107" i="4"/>
  <c r="BB106" i="4"/>
  <c r="BA106" i="4"/>
  <c r="BB105" i="4"/>
  <c r="BA105" i="4"/>
  <c r="BB104" i="4"/>
  <c r="BA104" i="4"/>
  <c r="BB103" i="4"/>
  <c r="BA103" i="4"/>
  <c r="BB102" i="4"/>
  <c r="BA102" i="4"/>
  <c r="BB101" i="4"/>
  <c r="BA101" i="4"/>
  <c r="BB100" i="4"/>
  <c r="BA100" i="4"/>
  <c r="BB99" i="4"/>
  <c r="BA99" i="4"/>
  <c r="BB97" i="4"/>
  <c r="BA97" i="4"/>
  <c r="BB96" i="4"/>
  <c r="BA96" i="4"/>
  <c r="BB95" i="4"/>
  <c r="BA95" i="4"/>
  <c r="BB94" i="4"/>
  <c r="BA94" i="4"/>
  <c r="BB92" i="4"/>
  <c r="BA92" i="4"/>
  <c r="BB91" i="4"/>
  <c r="BA91" i="4"/>
  <c r="BB90" i="4"/>
  <c r="BA90" i="4"/>
  <c r="BB89" i="4"/>
  <c r="BA89" i="4"/>
  <c r="BB88" i="4"/>
  <c r="BA88" i="4"/>
  <c r="BB87" i="4"/>
  <c r="BA87" i="4"/>
  <c r="BB86" i="4"/>
  <c r="BA86" i="4"/>
  <c r="BB85" i="4"/>
  <c r="BA85" i="4"/>
  <c r="BB84" i="4"/>
  <c r="BA84" i="4"/>
  <c r="BB83" i="4"/>
  <c r="BA83" i="4"/>
  <c r="BB82" i="4"/>
  <c r="BA82" i="4"/>
  <c r="BB81" i="4"/>
  <c r="BA81" i="4"/>
  <c r="BB80" i="4"/>
  <c r="BA80" i="4"/>
  <c r="BB79" i="4"/>
  <c r="BA79" i="4"/>
  <c r="BB78" i="4"/>
  <c r="BA78" i="4"/>
  <c r="BB77" i="4"/>
  <c r="BA77" i="4"/>
  <c r="BB76" i="4"/>
  <c r="BA76" i="4"/>
  <c r="BB75" i="4"/>
  <c r="BA75" i="4"/>
  <c r="BB74" i="4"/>
  <c r="BA74" i="4"/>
  <c r="BB73" i="4"/>
  <c r="BA73" i="4"/>
  <c r="BB72" i="4"/>
  <c r="BA72" i="4"/>
  <c r="BB71" i="4"/>
  <c r="BA71" i="4"/>
  <c r="BB70" i="4"/>
  <c r="BA70" i="4"/>
  <c r="BB69" i="4"/>
  <c r="BA69" i="4"/>
  <c r="BB68" i="4"/>
  <c r="BA68" i="4"/>
  <c r="BB67" i="4"/>
  <c r="BA67" i="4"/>
  <c r="BB66" i="4"/>
  <c r="BA66" i="4"/>
  <c r="BB65" i="4"/>
  <c r="BA65" i="4"/>
  <c r="BB64" i="4"/>
  <c r="BA64" i="4"/>
  <c r="BB63" i="4"/>
  <c r="BA63" i="4"/>
  <c r="BB62" i="4"/>
  <c r="BA62" i="4"/>
  <c r="BB61" i="4"/>
  <c r="BA61" i="4"/>
  <c r="BB60" i="4"/>
  <c r="BA60" i="4"/>
  <c r="BB59" i="4"/>
  <c r="BA59" i="4"/>
  <c r="BB58" i="4"/>
  <c r="BA58" i="4"/>
  <c r="BB57" i="4"/>
  <c r="BA57" i="4"/>
  <c r="BB56" i="4"/>
  <c r="BA56" i="4"/>
  <c r="BB55" i="4"/>
  <c r="BA55" i="4"/>
  <c r="BB54" i="4"/>
  <c r="BA54" i="4"/>
  <c r="BB53" i="4"/>
  <c r="BA53" i="4"/>
  <c r="BB52" i="4"/>
  <c r="BA52" i="4"/>
  <c r="BB51" i="4"/>
  <c r="BA51" i="4"/>
  <c r="BB50" i="4"/>
  <c r="BA50" i="4"/>
  <c r="BB48" i="4"/>
  <c r="BA48" i="4"/>
  <c r="BB47" i="4"/>
  <c r="BA47" i="4"/>
  <c r="BB45" i="4"/>
  <c r="BA45" i="4"/>
  <c r="BB44" i="4"/>
  <c r="BA44" i="4"/>
  <c r="BB43" i="4"/>
  <c r="BA43" i="4"/>
  <c r="BB42" i="4"/>
  <c r="BA42" i="4"/>
  <c r="BB41" i="4"/>
  <c r="BA41" i="4"/>
  <c r="BB40" i="4"/>
  <c r="BA40" i="4"/>
  <c r="BB39" i="4"/>
  <c r="BA39" i="4"/>
  <c r="BB38" i="4"/>
  <c r="BA38" i="4"/>
  <c r="BB37" i="4"/>
  <c r="BA37" i="4"/>
  <c r="BB36" i="4"/>
  <c r="BA36" i="4"/>
  <c r="BB35" i="4"/>
  <c r="BA35" i="4"/>
  <c r="BB34" i="4"/>
  <c r="BA34" i="4"/>
  <c r="BB32" i="4"/>
  <c r="BA32" i="4"/>
  <c r="BB31" i="4"/>
  <c r="BA31" i="4"/>
  <c r="BB30" i="4"/>
  <c r="BA30" i="4"/>
  <c r="BB29" i="4"/>
  <c r="BA29" i="4"/>
  <c r="BB28" i="4"/>
  <c r="BA28" i="4"/>
  <c r="BB27" i="4"/>
  <c r="BA27" i="4"/>
  <c r="BB26" i="4"/>
  <c r="BA26" i="4"/>
  <c r="BB25" i="4"/>
  <c r="BA25" i="4"/>
  <c r="BB24" i="4"/>
  <c r="BA24" i="4"/>
  <c r="BB23" i="4"/>
  <c r="BA23" i="4"/>
  <c r="BB22" i="4"/>
  <c r="BA22" i="4"/>
  <c r="BB21" i="4"/>
  <c r="BA21" i="4"/>
  <c r="BB20" i="4"/>
  <c r="BA20" i="4"/>
  <c r="BB19" i="4"/>
  <c r="BA19" i="4"/>
  <c r="BB18" i="4"/>
  <c r="BA18" i="4"/>
  <c r="BB17" i="4"/>
  <c r="BA17" i="4"/>
  <c r="BB16" i="4"/>
  <c r="BA16" i="4"/>
  <c r="BB15" i="4"/>
  <c r="BA15" i="4"/>
  <c r="BB14" i="4"/>
  <c r="BA14" i="4"/>
  <c r="BB13" i="4"/>
  <c r="BA13" i="4"/>
  <c r="BB12" i="4"/>
  <c r="BA12" i="4"/>
  <c r="BB11" i="4"/>
  <c r="BA11" i="4"/>
  <c r="BB10" i="4"/>
  <c r="BA10" i="4"/>
  <c r="BB215" i="3"/>
  <c r="BA215" i="3"/>
  <c r="AZ215" i="3"/>
  <c r="AY215" i="3"/>
  <c r="AX215" i="3"/>
  <c r="AW215" i="3"/>
  <c r="AV215" i="3"/>
  <c r="AU215" i="3"/>
  <c r="AT215" i="3"/>
  <c r="AS215" i="3"/>
  <c r="AR215" i="3"/>
  <c r="AQ215" i="3"/>
  <c r="AP215" i="3"/>
  <c r="AO215" i="3"/>
  <c r="AN215" i="3"/>
  <c r="AM215" i="3"/>
  <c r="AL215" i="3"/>
  <c r="AK215" i="3"/>
  <c r="AJ215" i="3"/>
  <c r="AI215" i="3"/>
  <c r="AH215" i="3"/>
  <c r="AG215" i="3"/>
  <c r="AF215" i="3"/>
  <c r="AE215" i="3"/>
  <c r="AD215" i="3"/>
  <c r="AC215" i="3"/>
  <c r="AB215" i="3"/>
  <c r="AA215" i="3"/>
  <c r="Z215" i="3"/>
  <c r="Y215" i="3"/>
  <c r="X215" i="3"/>
  <c r="W215" i="3"/>
  <c r="V215" i="3"/>
  <c r="U215" i="3"/>
  <c r="T215" i="3"/>
  <c r="S215" i="3"/>
  <c r="R215" i="3"/>
  <c r="Q215" i="3"/>
  <c r="P215" i="3"/>
  <c r="O215" i="3"/>
  <c r="N215" i="3"/>
  <c r="M215" i="3"/>
  <c r="L215" i="3"/>
  <c r="K215" i="3"/>
  <c r="J215" i="3"/>
  <c r="I215" i="3"/>
  <c r="H215" i="3"/>
  <c r="G215" i="3"/>
  <c r="F215" i="3"/>
  <c r="E215" i="3"/>
  <c r="D215" i="3"/>
  <c r="C215" i="3"/>
  <c r="BB212" i="3"/>
  <c r="BA212" i="3"/>
  <c r="BB209" i="3"/>
  <c r="BA209" i="3"/>
  <c r="BB205" i="3"/>
  <c r="BA205" i="3"/>
  <c r="BB202" i="3"/>
  <c r="BA202" i="3"/>
  <c r="BB197" i="3"/>
  <c r="BA197" i="3"/>
  <c r="BB193" i="3"/>
  <c r="BA193" i="3"/>
  <c r="BB188" i="3"/>
  <c r="BA188" i="3"/>
  <c r="BB184" i="3"/>
  <c r="BA184" i="3"/>
  <c r="BB180" i="3"/>
  <c r="BA180" i="3"/>
  <c r="BB178" i="3"/>
  <c r="BA178" i="3"/>
  <c r="BB177" i="3"/>
  <c r="BA177" i="3"/>
  <c r="BB176" i="3"/>
  <c r="BA176" i="3"/>
  <c r="BB175" i="3"/>
  <c r="BA175" i="3"/>
  <c r="BB174" i="3"/>
  <c r="BA174" i="3"/>
  <c r="BB173" i="3"/>
  <c r="BA173" i="3"/>
  <c r="BB172" i="3"/>
  <c r="BA172" i="3"/>
  <c r="BB171" i="3"/>
  <c r="BA171" i="3"/>
  <c r="BB170" i="3"/>
  <c r="BA170" i="3"/>
  <c r="BB169" i="3"/>
  <c r="BA169" i="3"/>
  <c r="BB168" i="3"/>
  <c r="BA168" i="3"/>
  <c r="BB167" i="3"/>
  <c r="BA167" i="3"/>
  <c r="BB166" i="3"/>
  <c r="BA166" i="3"/>
  <c r="BB165" i="3"/>
  <c r="BA165" i="3"/>
  <c r="BB164" i="3"/>
  <c r="BA164" i="3"/>
  <c r="BB163" i="3"/>
  <c r="BA163" i="3"/>
  <c r="BB162" i="3"/>
  <c r="BA162" i="3"/>
  <c r="BB161" i="3"/>
  <c r="BA161" i="3"/>
  <c r="BB159" i="3"/>
  <c r="BA159" i="3"/>
  <c r="BB158" i="3"/>
  <c r="BA158" i="3"/>
  <c r="BB157" i="3"/>
  <c r="BA157" i="3"/>
  <c r="BB156" i="3"/>
  <c r="BA156" i="3"/>
  <c r="BB155" i="3"/>
  <c r="BA155" i="3"/>
  <c r="BB154" i="3"/>
  <c r="BA154" i="3"/>
  <c r="BB153" i="3"/>
  <c r="BA153" i="3"/>
  <c r="BB152" i="3"/>
  <c r="BA152" i="3"/>
  <c r="BB151" i="3"/>
  <c r="BA151" i="3"/>
  <c r="BB150" i="3"/>
  <c r="BA150" i="3"/>
  <c r="BB149" i="3"/>
  <c r="BA149" i="3"/>
  <c r="BB148" i="3"/>
  <c r="BA148" i="3"/>
  <c r="BB147" i="3"/>
  <c r="BA147" i="3"/>
  <c r="BB146" i="3"/>
  <c r="BA146" i="3"/>
  <c r="BB145" i="3"/>
  <c r="BA145" i="3"/>
  <c r="BB144" i="3"/>
  <c r="BA144" i="3"/>
  <c r="BB143" i="3"/>
  <c r="BA143" i="3"/>
  <c r="BB142" i="3"/>
  <c r="BA142" i="3"/>
  <c r="BB141" i="3"/>
  <c r="BA141" i="3"/>
  <c r="BB140" i="3"/>
  <c r="BA140" i="3"/>
  <c r="BB139" i="3"/>
  <c r="BA139" i="3"/>
  <c r="BB138" i="3"/>
  <c r="BA138" i="3"/>
  <c r="BB137" i="3"/>
  <c r="BA137" i="3"/>
  <c r="BB135" i="3"/>
  <c r="BA135" i="3"/>
  <c r="BB134" i="3"/>
  <c r="BA134" i="3"/>
  <c r="BB133" i="3"/>
  <c r="BA133" i="3"/>
  <c r="BB132" i="3"/>
  <c r="BA132" i="3"/>
  <c r="BB131" i="3"/>
  <c r="BA131" i="3"/>
  <c r="BB130" i="3"/>
  <c r="BA130" i="3"/>
  <c r="BB129" i="3"/>
  <c r="BA129" i="3"/>
  <c r="BB128" i="3"/>
  <c r="BA128" i="3"/>
  <c r="BB127" i="3"/>
  <c r="BA127" i="3"/>
  <c r="BB126" i="3"/>
  <c r="BA126" i="3"/>
  <c r="BB125" i="3"/>
  <c r="BA125" i="3"/>
  <c r="BB124" i="3"/>
  <c r="BA124" i="3"/>
  <c r="BB123" i="3"/>
  <c r="BA123" i="3"/>
  <c r="BB122" i="3"/>
  <c r="BA122" i="3"/>
  <c r="BB121" i="3"/>
  <c r="BA121" i="3"/>
  <c r="BB120" i="3"/>
  <c r="BA120" i="3"/>
  <c r="BB119" i="3"/>
  <c r="BA119" i="3"/>
  <c r="BB118" i="3"/>
  <c r="BA118" i="3"/>
  <c r="BB116" i="3"/>
  <c r="BA116" i="3"/>
  <c r="BB115" i="3"/>
  <c r="BA115" i="3"/>
  <c r="BB114" i="3"/>
  <c r="BA114" i="3"/>
  <c r="BB113" i="3"/>
  <c r="BA113" i="3"/>
  <c r="BB112" i="3"/>
  <c r="BA112" i="3"/>
  <c r="BB110" i="3"/>
  <c r="BA110" i="3"/>
  <c r="BB109" i="3"/>
  <c r="BA109" i="3"/>
  <c r="BB108" i="3"/>
  <c r="BA108" i="3"/>
  <c r="BB107" i="3"/>
  <c r="BA107" i="3"/>
  <c r="BB106" i="3"/>
  <c r="BA106" i="3"/>
  <c r="BB105" i="3"/>
  <c r="BA105" i="3"/>
  <c r="BB104" i="3"/>
  <c r="BA104" i="3"/>
  <c r="BB103" i="3"/>
  <c r="BA103" i="3"/>
  <c r="BB102" i="3"/>
  <c r="BA102" i="3"/>
  <c r="BB101" i="3"/>
  <c r="BA101" i="3"/>
  <c r="BB100" i="3"/>
  <c r="BA100" i="3"/>
  <c r="BB98" i="3"/>
  <c r="BA98" i="3"/>
  <c r="BB97" i="3"/>
  <c r="BA97" i="3"/>
  <c r="BB96" i="3"/>
  <c r="BA96" i="3"/>
  <c r="BB95" i="3"/>
  <c r="BA95" i="3"/>
  <c r="BB93" i="3"/>
  <c r="BA93" i="3"/>
  <c r="BB92" i="3"/>
  <c r="BA92" i="3"/>
  <c r="BB91" i="3"/>
  <c r="BA91" i="3"/>
  <c r="BB90" i="3"/>
  <c r="BA90" i="3"/>
  <c r="BB89" i="3"/>
  <c r="BA89" i="3"/>
  <c r="BB88" i="3"/>
  <c r="BA88" i="3"/>
  <c r="BB87" i="3"/>
  <c r="BA87" i="3"/>
  <c r="BB86" i="3"/>
  <c r="BA86" i="3"/>
  <c r="BB85" i="3"/>
  <c r="BA85" i="3"/>
  <c r="BB84" i="3"/>
  <c r="BA84" i="3"/>
  <c r="BB83" i="3"/>
  <c r="BA83" i="3"/>
  <c r="BB82" i="3"/>
  <c r="BA82" i="3"/>
  <c r="BB81" i="3"/>
  <c r="BA81" i="3"/>
  <c r="BB80" i="3"/>
  <c r="BA80" i="3"/>
  <c r="BB79" i="3"/>
  <c r="BA79" i="3"/>
  <c r="BB78" i="3"/>
  <c r="BA78" i="3"/>
  <c r="BB77" i="3"/>
  <c r="BA77" i="3"/>
  <c r="BB76" i="3"/>
  <c r="BA76" i="3"/>
  <c r="BB75" i="3"/>
  <c r="BA75" i="3"/>
  <c r="BB74" i="3"/>
  <c r="BA74" i="3"/>
  <c r="BB73" i="3"/>
  <c r="BA73" i="3"/>
  <c r="BB72" i="3"/>
  <c r="BA72" i="3"/>
  <c r="BB71" i="3"/>
  <c r="BA71" i="3"/>
  <c r="BB70" i="3"/>
  <c r="BA70" i="3"/>
  <c r="BB69" i="3"/>
  <c r="BA69" i="3"/>
  <c r="BB68" i="3"/>
  <c r="BA68" i="3"/>
  <c r="BB67" i="3"/>
  <c r="BA67" i="3"/>
  <c r="BB66" i="3"/>
  <c r="BA66" i="3"/>
  <c r="BB65" i="3"/>
  <c r="BA65" i="3"/>
  <c r="BB64" i="3"/>
  <c r="BA64" i="3"/>
  <c r="BB63" i="3"/>
  <c r="BA63" i="3"/>
  <c r="BB62" i="3"/>
  <c r="BA62" i="3"/>
  <c r="BB61" i="3"/>
  <c r="BA61" i="3"/>
  <c r="BB60" i="3"/>
  <c r="BA60" i="3"/>
  <c r="BB59" i="3"/>
  <c r="BA59" i="3"/>
  <c r="BB58" i="3"/>
  <c r="BA58" i="3"/>
  <c r="BB57" i="3"/>
  <c r="BA57" i="3"/>
  <c r="BB56" i="3"/>
  <c r="BA56" i="3"/>
  <c r="BB55" i="3"/>
  <c r="BA55" i="3"/>
  <c r="BB54" i="3"/>
  <c r="BA54" i="3"/>
  <c r="BB53" i="3"/>
  <c r="BA53" i="3"/>
  <c r="BB52" i="3"/>
  <c r="BA52" i="3"/>
  <c r="BB51" i="3"/>
  <c r="BA51" i="3"/>
  <c r="BB50" i="3"/>
  <c r="BA50" i="3"/>
  <c r="BB49" i="3"/>
  <c r="BA49" i="3"/>
  <c r="BB48" i="3"/>
  <c r="BA48" i="3"/>
  <c r="BB46" i="3"/>
  <c r="BA46" i="3"/>
  <c r="BB45" i="3"/>
  <c r="BA45" i="3"/>
  <c r="BB43" i="3"/>
  <c r="BA43" i="3"/>
  <c r="BB42" i="3"/>
  <c r="BA42" i="3"/>
  <c r="BB41" i="3"/>
  <c r="BA41" i="3"/>
  <c r="BB40" i="3"/>
  <c r="BA40" i="3"/>
  <c r="BB39" i="3"/>
  <c r="BA39" i="3"/>
  <c r="BB38" i="3"/>
  <c r="BA38" i="3"/>
  <c r="BB37" i="3"/>
  <c r="BA37" i="3"/>
  <c r="BB36" i="3"/>
  <c r="BA36" i="3"/>
  <c r="BB35" i="3"/>
  <c r="BA35" i="3"/>
  <c r="BB34" i="3"/>
  <c r="BA34" i="3"/>
  <c r="BB33" i="3"/>
  <c r="BA33" i="3"/>
  <c r="BB32" i="3"/>
  <c r="BA32" i="3"/>
  <c r="BB31" i="3"/>
  <c r="BA31" i="3"/>
  <c r="BB30" i="3"/>
  <c r="BA30" i="3"/>
  <c r="BB28" i="3"/>
  <c r="BA28" i="3"/>
  <c r="BB27" i="3"/>
  <c r="BA27" i="3"/>
  <c r="BB26" i="3"/>
  <c r="BA26" i="3"/>
  <c r="BB25" i="3"/>
  <c r="BA25" i="3"/>
  <c r="BB24" i="3"/>
  <c r="BA24" i="3"/>
  <c r="BB23" i="3"/>
  <c r="BA23" i="3"/>
  <c r="BB22" i="3"/>
  <c r="BA22" i="3"/>
  <c r="BB21" i="3"/>
  <c r="BA21" i="3"/>
  <c r="BB20" i="3"/>
  <c r="BA20" i="3"/>
  <c r="BB19" i="3"/>
  <c r="BA19" i="3"/>
  <c r="BB18" i="3"/>
  <c r="BA18" i="3"/>
  <c r="BB17" i="3"/>
  <c r="BA17" i="3"/>
  <c r="BB16" i="3"/>
  <c r="BA16" i="3"/>
  <c r="BB15" i="3"/>
  <c r="BA15" i="3"/>
  <c r="BB14" i="3"/>
  <c r="BA14" i="3"/>
  <c r="BB13" i="3"/>
  <c r="BA13" i="3"/>
  <c r="BB12" i="3"/>
  <c r="BA12" i="3"/>
  <c r="BB11" i="3"/>
  <c r="BA11" i="3"/>
  <c r="BB10" i="3"/>
  <c r="BA10" i="3"/>
  <c r="BB216" i="2"/>
  <c r="BA216" i="2"/>
  <c r="AZ216" i="2"/>
  <c r="AY216" i="2"/>
  <c r="AX216" i="2"/>
  <c r="AW216" i="2"/>
  <c r="AV216" i="2"/>
  <c r="AU216" i="2"/>
  <c r="AT216" i="2"/>
  <c r="AS216" i="2"/>
  <c r="AR216" i="2"/>
  <c r="AQ216" i="2"/>
  <c r="AP216" i="2"/>
  <c r="AO216" i="2"/>
  <c r="AN216" i="2"/>
  <c r="AM216" i="2"/>
  <c r="AL216" i="2"/>
  <c r="AK216" i="2"/>
  <c r="AJ216" i="2"/>
  <c r="AI216" i="2"/>
  <c r="AH216" i="2"/>
  <c r="AG216" i="2"/>
  <c r="AF216" i="2"/>
  <c r="AE216" i="2"/>
  <c r="AD216" i="2"/>
  <c r="AC216" i="2"/>
  <c r="AB216" i="2"/>
  <c r="AA216" i="2"/>
  <c r="Z216" i="2"/>
  <c r="Y216" i="2"/>
  <c r="X216" i="2"/>
  <c r="W216" i="2"/>
  <c r="V216" i="2"/>
  <c r="U216" i="2"/>
  <c r="T216" i="2"/>
  <c r="S216" i="2"/>
  <c r="R216" i="2"/>
  <c r="Q216" i="2"/>
  <c r="P216" i="2"/>
  <c r="O216" i="2"/>
  <c r="N216" i="2"/>
  <c r="M216" i="2"/>
  <c r="L216" i="2"/>
  <c r="K216" i="2"/>
  <c r="J216" i="2"/>
  <c r="I216" i="2"/>
  <c r="H216" i="2"/>
  <c r="G216" i="2"/>
  <c r="F216" i="2"/>
  <c r="E216" i="2"/>
  <c r="D216" i="2"/>
  <c r="C216" i="2"/>
  <c r="BB213" i="2"/>
  <c r="BA213" i="2"/>
  <c r="BB210" i="2"/>
  <c r="BA210" i="2"/>
  <c r="BB206" i="2"/>
  <c r="BA206" i="2"/>
  <c r="BB203" i="2"/>
  <c r="BA203" i="2"/>
  <c r="BB198" i="2"/>
  <c r="BA198" i="2"/>
  <c r="BB194" i="2"/>
  <c r="BA194" i="2"/>
  <c r="BB189" i="2"/>
  <c r="BA189" i="2"/>
  <c r="BB185" i="2"/>
  <c r="BA185" i="2"/>
  <c r="BB181" i="2"/>
  <c r="BA181" i="2"/>
  <c r="BB179" i="2"/>
  <c r="BA179" i="2"/>
  <c r="BB178" i="2"/>
  <c r="BA178" i="2"/>
  <c r="BB177" i="2"/>
  <c r="BA177" i="2"/>
  <c r="BB176" i="2"/>
  <c r="BA176" i="2"/>
  <c r="BB175" i="2"/>
  <c r="BA175" i="2"/>
  <c r="BB174" i="2"/>
  <c r="BA174" i="2"/>
  <c r="BB173" i="2"/>
  <c r="BA173" i="2"/>
  <c r="BB172" i="2"/>
  <c r="BA172" i="2"/>
  <c r="BB171" i="2"/>
  <c r="BA171" i="2"/>
  <c r="BB170" i="2"/>
  <c r="BA170" i="2"/>
  <c r="BB169" i="2"/>
  <c r="BA169" i="2"/>
  <c r="BB168" i="2"/>
  <c r="BA168" i="2"/>
  <c r="BB167" i="2"/>
  <c r="BA167" i="2"/>
  <c r="BB166" i="2"/>
  <c r="BA166" i="2"/>
  <c r="BB165" i="2"/>
  <c r="BA165" i="2"/>
  <c r="BB164" i="2"/>
  <c r="BA164" i="2"/>
  <c r="BB163" i="2"/>
  <c r="BA163" i="2"/>
  <c r="BB162" i="2"/>
  <c r="BA162" i="2"/>
  <c r="BB160" i="2"/>
  <c r="BA160" i="2"/>
  <c r="BB159" i="2"/>
  <c r="BA159" i="2"/>
  <c r="BB158" i="2"/>
  <c r="BA158" i="2"/>
  <c r="BB157" i="2"/>
  <c r="BA157" i="2"/>
  <c r="BB156" i="2"/>
  <c r="BA156" i="2"/>
  <c r="BB155" i="2"/>
  <c r="BA155" i="2"/>
  <c r="BB154" i="2"/>
  <c r="BA154" i="2"/>
  <c r="BB153" i="2"/>
  <c r="BA153" i="2"/>
  <c r="BB152" i="2"/>
  <c r="BA152" i="2"/>
  <c r="BB151" i="2"/>
  <c r="BA151" i="2"/>
  <c r="BB150" i="2"/>
  <c r="BA150" i="2"/>
  <c r="BB149" i="2"/>
  <c r="BA149" i="2"/>
  <c r="BB148" i="2"/>
  <c r="BA148" i="2"/>
  <c r="BB147" i="2"/>
  <c r="BA147" i="2"/>
  <c r="BB146" i="2"/>
  <c r="BA146" i="2"/>
  <c r="BB145" i="2"/>
  <c r="BA145" i="2"/>
  <c r="BB144" i="2"/>
  <c r="BA144" i="2"/>
  <c r="BB143" i="2"/>
  <c r="BA143" i="2"/>
  <c r="BB142" i="2"/>
  <c r="BA142" i="2"/>
  <c r="BB141" i="2"/>
  <c r="BA141" i="2"/>
  <c r="BB140" i="2"/>
  <c r="BA140" i="2"/>
  <c r="BB139" i="2"/>
  <c r="BA139" i="2"/>
  <c r="BB138" i="2"/>
  <c r="BA138" i="2"/>
  <c r="BB136" i="2"/>
  <c r="BA136" i="2"/>
  <c r="BB135" i="2"/>
  <c r="BA135" i="2"/>
  <c r="BB134" i="2"/>
  <c r="BA134" i="2"/>
  <c r="BB133" i="2"/>
  <c r="BA133" i="2"/>
  <c r="BB132" i="2"/>
  <c r="BA132" i="2"/>
  <c r="BB131" i="2"/>
  <c r="BA131" i="2"/>
  <c r="BB130" i="2"/>
  <c r="BA130" i="2"/>
  <c r="BB129" i="2"/>
  <c r="BA129" i="2"/>
  <c r="BB128" i="2"/>
  <c r="BA128" i="2"/>
  <c r="BB127" i="2"/>
  <c r="BA127" i="2"/>
  <c r="BB126" i="2"/>
  <c r="BA126" i="2"/>
  <c r="BB125" i="2"/>
  <c r="BA125" i="2"/>
  <c r="BB124" i="2"/>
  <c r="BA124" i="2"/>
  <c r="BB123" i="2"/>
  <c r="BA123" i="2"/>
  <c r="BB122" i="2"/>
  <c r="BA122" i="2"/>
  <c r="BB121" i="2"/>
  <c r="BA121" i="2"/>
  <c r="BB120" i="2"/>
  <c r="BA120" i="2"/>
  <c r="BB119" i="2"/>
  <c r="BA119" i="2"/>
  <c r="BB117" i="2"/>
  <c r="BA117" i="2"/>
  <c r="BB116" i="2"/>
  <c r="BA116" i="2"/>
  <c r="BB115" i="2"/>
  <c r="BA115" i="2"/>
  <c r="BB114" i="2"/>
  <c r="BA114" i="2"/>
  <c r="BB113" i="2"/>
  <c r="BA113" i="2"/>
  <c r="BB111" i="2"/>
  <c r="BA111" i="2"/>
  <c r="BB110" i="2"/>
  <c r="BA110" i="2"/>
  <c r="BB109" i="2"/>
  <c r="BA109" i="2"/>
  <c r="BB108" i="2"/>
  <c r="BA108" i="2"/>
  <c r="BB107" i="2"/>
  <c r="BA107" i="2"/>
  <c r="BB106" i="2"/>
  <c r="BA106" i="2"/>
  <c r="BB105" i="2"/>
  <c r="BA105" i="2"/>
  <c r="BB104" i="2"/>
  <c r="BA104" i="2"/>
  <c r="BB103" i="2"/>
  <c r="BA103" i="2"/>
  <c r="BB102" i="2"/>
  <c r="BA102" i="2"/>
  <c r="BB101" i="2"/>
  <c r="BA101" i="2"/>
  <c r="BB99" i="2"/>
  <c r="BA99" i="2"/>
  <c r="BB98" i="2"/>
  <c r="BA98" i="2"/>
  <c r="BB97" i="2"/>
  <c r="BA97" i="2"/>
  <c r="BB96" i="2"/>
  <c r="BA96" i="2"/>
  <c r="BB94" i="2"/>
  <c r="BA94" i="2"/>
  <c r="BB93" i="2"/>
  <c r="BA93" i="2"/>
  <c r="BB92" i="2"/>
  <c r="BA92" i="2"/>
  <c r="BB91" i="2"/>
  <c r="BA91" i="2"/>
  <c r="BB90" i="2"/>
  <c r="BA90" i="2"/>
  <c r="BB89" i="2"/>
  <c r="BA89" i="2"/>
  <c r="BB88" i="2"/>
  <c r="BA88" i="2"/>
  <c r="BB87" i="2"/>
  <c r="BA87" i="2"/>
  <c r="BB86" i="2"/>
  <c r="BA86" i="2"/>
  <c r="BB85" i="2"/>
  <c r="BA85" i="2"/>
  <c r="BB84" i="2"/>
  <c r="BA84" i="2"/>
  <c r="BB83" i="2"/>
  <c r="BA83" i="2"/>
  <c r="BB82" i="2"/>
  <c r="BA82" i="2"/>
  <c r="BB81" i="2"/>
  <c r="BA81" i="2"/>
  <c r="BB80" i="2"/>
  <c r="BA80" i="2"/>
  <c r="BB79" i="2"/>
  <c r="BA79" i="2"/>
  <c r="BB78" i="2"/>
  <c r="BA78" i="2"/>
  <c r="BB77" i="2"/>
  <c r="BA77" i="2"/>
  <c r="BB76" i="2"/>
  <c r="BA76" i="2"/>
  <c r="BB75" i="2"/>
  <c r="BA75" i="2"/>
  <c r="BB74" i="2"/>
  <c r="BA74" i="2"/>
  <c r="BB73" i="2"/>
  <c r="BA73" i="2"/>
  <c r="BB72" i="2"/>
  <c r="BA72" i="2"/>
  <c r="BB71" i="2"/>
  <c r="BA71" i="2"/>
  <c r="BB70" i="2"/>
  <c r="BA70" i="2"/>
  <c r="BB69" i="2"/>
  <c r="BA69" i="2"/>
  <c r="BB68" i="2"/>
  <c r="BA68" i="2"/>
  <c r="BB67" i="2"/>
  <c r="BA67" i="2"/>
  <c r="BB66" i="2"/>
  <c r="BA66" i="2"/>
  <c r="BB65" i="2"/>
  <c r="BA65" i="2"/>
  <c r="BB64" i="2"/>
  <c r="BA64" i="2"/>
  <c r="BB63" i="2"/>
  <c r="BA63" i="2"/>
  <c r="BB62" i="2"/>
  <c r="BA62" i="2"/>
  <c r="BB61" i="2"/>
  <c r="BA61" i="2"/>
  <c r="BB60" i="2"/>
  <c r="BA60" i="2"/>
  <c r="BB59" i="2"/>
  <c r="BA59" i="2"/>
  <c r="BB58" i="2"/>
  <c r="BA58" i="2"/>
  <c r="BB57" i="2"/>
  <c r="BA57" i="2"/>
  <c r="BB56" i="2"/>
  <c r="BA56" i="2"/>
  <c r="BB55" i="2"/>
  <c r="BA55" i="2"/>
  <c r="BB54" i="2"/>
  <c r="BA54" i="2"/>
  <c r="BB53" i="2"/>
  <c r="BA53" i="2"/>
  <c r="BB52" i="2"/>
  <c r="BA52" i="2"/>
  <c r="BB51" i="2"/>
  <c r="BA51" i="2"/>
  <c r="BB50" i="2"/>
  <c r="BA50" i="2"/>
  <c r="BB48" i="2"/>
  <c r="BA48" i="2"/>
  <c r="BB47" i="2"/>
  <c r="BA47" i="2"/>
  <c r="BB45" i="2"/>
  <c r="BA45" i="2"/>
  <c r="BB44" i="2"/>
  <c r="BA44" i="2"/>
  <c r="BB43" i="2"/>
  <c r="BA43" i="2"/>
  <c r="BB42" i="2"/>
  <c r="BA42" i="2"/>
  <c r="BB41" i="2"/>
  <c r="BA41" i="2"/>
  <c r="BB40" i="2"/>
  <c r="BA40" i="2"/>
  <c r="BB39" i="2"/>
  <c r="BA39" i="2"/>
  <c r="BB38" i="2"/>
  <c r="BA38" i="2"/>
  <c r="BB37" i="2"/>
  <c r="BA37" i="2"/>
  <c r="BB36" i="2"/>
  <c r="BA36" i="2"/>
  <c r="BB35" i="2"/>
  <c r="BA35" i="2"/>
  <c r="BB34" i="2"/>
  <c r="BA34" i="2"/>
  <c r="BB33" i="2"/>
  <c r="BA33" i="2"/>
  <c r="BB31" i="2"/>
  <c r="BA31" i="2"/>
  <c r="BB30" i="2"/>
  <c r="BA30" i="2"/>
  <c r="BB29" i="2"/>
  <c r="BA29" i="2"/>
  <c r="BB28" i="2"/>
  <c r="BA28" i="2"/>
  <c r="BB27" i="2"/>
  <c r="BA27" i="2"/>
  <c r="BB26" i="2"/>
  <c r="BA26" i="2"/>
  <c r="BB25" i="2"/>
  <c r="BA25" i="2"/>
  <c r="BB24" i="2"/>
  <c r="BA24" i="2"/>
  <c r="BB23" i="2"/>
  <c r="BA23" i="2"/>
  <c r="BB22" i="2"/>
  <c r="BA22" i="2"/>
  <c r="BB21" i="2"/>
  <c r="BA21" i="2"/>
  <c r="BB20" i="2"/>
  <c r="BA20" i="2"/>
  <c r="BB19" i="2"/>
  <c r="BA19" i="2"/>
  <c r="BB18" i="2"/>
  <c r="BA18" i="2"/>
  <c r="BB17" i="2"/>
  <c r="BA17" i="2"/>
  <c r="BB16" i="2"/>
  <c r="BA16" i="2"/>
  <c r="BB15" i="2"/>
  <c r="BA15" i="2"/>
  <c r="BB14" i="2"/>
  <c r="BA14" i="2"/>
  <c r="BB13" i="2"/>
  <c r="BA13" i="2"/>
  <c r="BB12" i="2"/>
  <c r="BA12" i="2"/>
  <c r="BB11" i="2"/>
  <c r="BA11" i="2"/>
  <c r="BB10" i="2"/>
  <c r="BA10" i="2"/>
  <c r="BB220" i="1"/>
  <c r="BA220" i="1"/>
  <c r="AZ220" i="1"/>
  <c r="AY220" i="1"/>
  <c r="AX220" i="1"/>
  <c r="AW220" i="1"/>
  <c r="AV220" i="1"/>
  <c r="AU220" i="1"/>
  <c r="AT220" i="1"/>
  <c r="AS220" i="1"/>
  <c r="AR220" i="1"/>
  <c r="AQ220" i="1"/>
  <c r="AP220" i="1"/>
  <c r="AO220" i="1"/>
  <c r="AN220" i="1"/>
  <c r="AM220" i="1"/>
  <c r="AL220" i="1"/>
  <c r="AK220" i="1"/>
  <c r="AJ220" i="1"/>
  <c r="AI220" i="1"/>
  <c r="AH220" i="1"/>
  <c r="AG220" i="1"/>
  <c r="AF220" i="1"/>
  <c r="AE220" i="1"/>
  <c r="AD220" i="1"/>
  <c r="AC220" i="1"/>
  <c r="AB220" i="1"/>
  <c r="AA220" i="1"/>
  <c r="Z220" i="1"/>
  <c r="Y220" i="1"/>
  <c r="X220" i="1"/>
  <c r="W220" i="1"/>
  <c r="V220" i="1"/>
  <c r="U220" i="1"/>
  <c r="T220" i="1"/>
  <c r="S220" i="1"/>
  <c r="R220" i="1"/>
  <c r="Q220" i="1"/>
  <c r="P220" i="1"/>
  <c r="O220" i="1"/>
  <c r="N220" i="1"/>
  <c r="M220" i="1"/>
  <c r="L220" i="1"/>
  <c r="K220" i="1"/>
  <c r="J220" i="1"/>
  <c r="I220" i="1"/>
  <c r="H220" i="1"/>
  <c r="G220" i="1"/>
  <c r="F220" i="1"/>
  <c r="E220" i="1"/>
  <c r="D220" i="1"/>
  <c r="C220" i="1"/>
  <c r="BB217" i="1"/>
  <c r="BA217" i="1"/>
  <c r="BB214" i="1"/>
  <c r="BA214" i="1"/>
  <c r="BB210" i="1"/>
  <c r="BA210" i="1"/>
  <c r="BB207" i="1"/>
  <c r="BA207" i="1"/>
  <c r="BB202" i="1"/>
  <c r="BA202" i="1"/>
  <c r="BB198" i="1"/>
  <c r="BA198" i="1"/>
  <c r="BB192" i="1"/>
  <c r="BA192" i="1"/>
  <c r="BB187" i="1"/>
  <c r="BA187" i="1"/>
  <c r="BB183" i="1"/>
  <c r="BA183" i="1"/>
  <c r="BB181" i="1"/>
  <c r="BA181" i="1"/>
  <c r="BB180" i="1"/>
  <c r="BA180" i="1"/>
  <c r="BB179" i="1"/>
  <c r="BA179" i="1"/>
  <c r="BB178" i="1"/>
  <c r="BA178" i="1"/>
  <c r="BB177" i="1"/>
  <c r="BA177" i="1"/>
  <c r="BB176" i="1"/>
  <c r="BA176" i="1"/>
  <c r="BB175" i="1"/>
  <c r="BA175" i="1"/>
  <c r="BB174" i="1"/>
  <c r="BA174" i="1"/>
  <c r="BB173" i="1"/>
  <c r="BA173" i="1"/>
  <c r="BB172" i="1"/>
  <c r="BA172" i="1"/>
  <c r="BB171" i="1"/>
  <c r="BA171" i="1"/>
  <c r="BB170" i="1"/>
  <c r="BA170" i="1"/>
  <c r="BB169" i="1"/>
  <c r="BA169" i="1"/>
  <c r="BB168" i="1"/>
  <c r="BA168" i="1"/>
  <c r="BB167" i="1"/>
  <c r="BA167" i="1"/>
  <c r="BB166" i="1"/>
  <c r="BA166" i="1"/>
  <c r="BB165" i="1"/>
  <c r="BA165" i="1"/>
  <c r="BB164" i="1"/>
  <c r="BA164" i="1"/>
  <c r="BB163" i="1"/>
  <c r="BA163" i="1"/>
  <c r="BB161" i="1"/>
  <c r="BA161" i="1"/>
  <c r="BB160" i="1"/>
  <c r="BA160" i="1"/>
  <c r="BB159" i="1"/>
  <c r="BA159" i="1"/>
  <c r="BB158" i="1"/>
  <c r="BA158" i="1"/>
  <c r="BB157" i="1"/>
  <c r="BA157" i="1"/>
  <c r="BB156" i="1"/>
  <c r="BA156" i="1"/>
  <c r="BB155" i="1"/>
  <c r="BA155" i="1"/>
  <c r="BB154" i="1"/>
  <c r="BA154" i="1"/>
  <c r="BB153" i="1"/>
  <c r="BA153" i="1"/>
  <c r="BB152" i="1"/>
  <c r="BA152" i="1"/>
  <c r="BB151" i="1"/>
  <c r="BA151" i="1"/>
  <c r="BB150" i="1"/>
  <c r="BA150" i="1"/>
  <c r="BB149" i="1"/>
  <c r="BA149" i="1"/>
  <c r="BB148" i="1"/>
  <c r="BA148" i="1"/>
  <c r="BB147" i="1"/>
  <c r="BA147" i="1"/>
  <c r="BB146" i="1"/>
  <c r="BA146" i="1"/>
  <c r="BB145" i="1"/>
  <c r="BA145" i="1"/>
  <c r="BB144" i="1"/>
  <c r="BA144" i="1"/>
  <c r="BB143" i="1"/>
  <c r="BA143" i="1"/>
  <c r="BB142" i="1"/>
  <c r="BA142" i="1"/>
  <c r="BB141" i="1"/>
  <c r="BA141" i="1"/>
  <c r="BB140" i="1"/>
  <c r="BA140" i="1"/>
  <c r="BB139" i="1"/>
  <c r="BA139" i="1"/>
  <c r="BB137" i="1"/>
  <c r="BA137" i="1"/>
  <c r="BB136" i="1"/>
  <c r="BA136" i="1"/>
  <c r="BB135" i="1"/>
  <c r="BA135" i="1"/>
  <c r="BB134" i="1"/>
  <c r="BA134" i="1"/>
  <c r="BB133" i="1"/>
  <c r="BA133" i="1"/>
  <c r="BB132" i="1"/>
  <c r="BA132" i="1"/>
  <c r="BB131" i="1"/>
  <c r="BA131" i="1"/>
  <c r="BB130" i="1"/>
  <c r="BA130" i="1"/>
  <c r="BB129" i="1"/>
  <c r="BA129" i="1"/>
  <c r="BB128" i="1"/>
  <c r="BA128" i="1"/>
  <c r="BB127" i="1"/>
  <c r="BA127" i="1"/>
  <c r="BB126" i="1"/>
  <c r="BA126" i="1"/>
  <c r="BB125" i="1"/>
  <c r="BA125" i="1"/>
  <c r="BB124" i="1"/>
  <c r="BA124" i="1"/>
  <c r="BB123" i="1"/>
  <c r="BA123" i="1"/>
  <c r="BB122" i="1"/>
  <c r="BA122" i="1"/>
  <c r="BB121" i="1"/>
  <c r="BA121" i="1"/>
  <c r="BB120" i="1"/>
  <c r="BA120" i="1"/>
  <c r="BB118" i="1"/>
  <c r="BA118" i="1"/>
  <c r="BB117" i="1"/>
  <c r="BA117" i="1"/>
  <c r="BB116" i="1"/>
  <c r="BA116" i="1"/>
  <c r="BB115" i="1"/>
  <c r="BA115" i="1"/>
  <c r="BB114" i="1"/>
  <c r="BA114" i="1"/>
  <c r="BB112" i="1"/>
  <c r="BA112" i="1"/>
  <c r="BB111" i="1"/>
  <c r="BA111" i="1"/>
  <c r="BB110" i="1"/>
  <c r="BA110" i="1"/>
  <c r="BB109" i="1"/>
  <c r="BA109" i="1"/>
  <c r="BB108" i="1"/>
  <c r="BA108" i="1"/>
  <c r="BB107" i="1"/>
  <c r="BA107" i="1"/>
  <c r="BB106" i="1"/>
  <c r="BA106" i="1"/>
  <c r="BB105" i="1"/>
  <c r="BA105" i="1"/>
  <c r="BB104" i="1"/>
  <c r="BA104" i="1"/>
  <c r="BB103" i="1"/>
  <c r="BA103" i="1"/>
  <c r="BB102" i="1"/>
  <c r="BA102" i="1"/>
  <c r="BB100" i="1"/>
  <c r="BA100" i="1"/>
  <c r="BB99" i="1"/>
  <c r="BA99" i="1"/>
  <c r="BB98" i="1"/>
  <c r="BA98" i="1"/>
  <c r="BB97" i="1"/>
  <c r="BA97" i="1"/>
  <c r="BB95" i="1"/>
  <c r="BA95" i="1"/>
  <c r="BB94" i="1"/>
  <c r="BA94" i="1"/>
  <c r="BB93" i="1"/>
  <c r="BA93" i="1"/>
  <c r="BB92" i="1"/>
  <c r="BA92" i="1"/>
  <c r="BB91" i="1"/>
  <c r="BA91" i="1"/>
  <c r="BB90" i="1"/>
  <c r="BA90" i="1"/>
  <c r="BB89" i="1"/>
  <c r="BA89" i="1"/>
  <c r="BB88" i="1"/>
  <c r="BA88" i="1"/>
  <c r="BB87" i="1"/>
  <c r="BA87" i="1"/>
  <c r="BB86" i="1"/>
  <c r="BA86" i="1"/>
  <c r="BB85" i="1"/>
  <c r="BA85" i="1"/>
  <c r="BB84" i="1"/>
  <c r="BA84" i="1"/>
  <c r="BB83" i="1"/>
  <c r="BA83" i="1"/>
  <c r="BB82" i="1"/>
  <c r="BA82" i="1"/>
  <c r="BB81" i="1"/>
  <c r="BA81" i="1"/>
  <c r="BB80" i="1"/>
  <c r="BA80" i="1"/>
  <c r="BB79" i="1"/>
  <c r="BA79" i="1"/>
  <c r="BB78" i="1"/>
  <c r="BA78" i="1"/>
  <c r="BB77" i="1"/>
  <c r="BA77" i="1"/>
  <c r="BB76" i="1"/>
  <c r="BA76" i="1"/>
  <c r="BB75" i="1"/>
  <c r="BA75" i="1"/>
  <c r="BB74" i="1"/>
  <c r="BA74" i="1"/>
  <c r="BB73" i="1"/>
  <c r="BA73" i="1"/>
  <c r="BB72" i="1"/>
  <c r="BA72" i="1"/>
  <c r="BB71" i="1"/>
  <c r="BA71" i="1"/>
  <c r="BB70" i="1"/>
  <c r="BA70" i="1"/>
  <c r="BB69" i="1"/>
  <c r="BA69" i="1"/>
  <c r="BB68" i="1"/>
  <c r="BA68" i="1"/>
  <c r="BB67" i="1"/>
  <c r="BA67" i="1"/>
  <c r="BB66" i="1"/>
  <c r="BA66" i="1"/>
  <c r="BB65" i="1"/>
  <c r="BA65" i="1"/>
  <c r="BB64" i="1"/>
  <c r="BA64" i="1"/>
  <c r="BB63" i="1"/>
  <c r="BA63" i="1"/>
  <c r="BB62" i="1"/>
  <c r="BA62" i="1"/>
  <c r="BB61" i="1"/>
  <c r="BA61" i="1"/>
  <c r="BB60" i="1"/>
  <c r="BA60" i="1"/>
  <c r="BB59" i="1"/>
  <c r="BA59" i="1"/>
  <c r="BB58" i="1"/>
  <c r="BA58" i="1"/>
  <c r="BB57" i="1"/>
  <c r="BA57" i="1"/>
  <c r="BB56" i="1"/>
  <c r="BA56" i="1"/>
  <c r="BB55" i="1"/>
  <c r="BA55" i="1"/>
  <c r="BB54" i="1"/>
  <c r="BA54" i="1"/>
  <c r="BB53" i="1"/>
  <c r="BA53" i="1"/>
  <c r="BB52" i="1"/>
  <c r="BA52" i="1"/>
  <c r="BB51" i="1"/>
  <c r="BA51" i="1"/>
  <c r="BB50" i="1"/>
  <c r="BA50" i="1"/>
  <c r="BB48" i="1"/>
  <c r="BA48" i="1"/>
  <c r="BB47" i="1"/>
  <c r="BA47" i="1"/>
  <c r="BB45" i="1"/>
  <c r="BA45" i="1"/>
  <c r="BB44" i="1"/>
  <c r="BA44" i="1"/>
  <c r="BB43" i="1"/>
  <c r="BA43" i="1"/>
  <c r="BB42" i="1"/>
  <c r="BA42" i="1"/>
  <c r="BB41" i="1"/>
  <c r="BA41" i="1"/>
  <c r="BB40" i="1"/>
  <c r="BA40" i="1"/>
  <c r="BB39" i="1"/>
  <c r="BA39" i="1"/>
  <c r="BB38" i="1"/>
  <c r="BA38" i="1"/>
  <c r="BB37" i="1"/>
  <c r="BA37" i="1"/>
  <c r="BB36" i="1"/>
  <c r="BA36" i="1"/>
  <c r="BB35" i="1"/>
  <c r="BA35" i="1"/>
  <c r="BB34" i="1"/>
  <c r="BA34" i="1"/>
  <c r="BB33" i="1"/>
  <c r="BA33" i="1"/>
  <c r="BB31" i="1"/>
  <c r="BA31" i="1"/>
  <c r="BB30" i="1"/>
  <c r="BA30" i="1"/>
  <c r="BB29" i="1"/>
  <c r="BA29" i="1"/>
  <c r="BB28" i="1"/>
  <c r="BA28" i="1"/>
  <c r="BB27" i="1"/>
  <c r="BA27" i="1"/>
  <c r="BB26" i="1"/>
  <c r="BA26" i="1"/>
  <c r="BB25" i="1"/>
  <c r="BA25" i="1"/>
  <c r="BB24" i="1"/>
  <c r="BA24" i="1"/>
  <c r="BB23" i="1"/>
  <c r="BA23" i="1"/>
  <c r="BB22" i="1"/>
  <c r="BA22" i="1"/>
  <c r="BB21" i="1"/>
  <c r="BA21" i="1"/>
  <c r="BB20" i="1"/>
  <c r="BA20" i="1"/>
  <c r="BB19" i="1"/>
  <c r="BA19" i="1"/>
  <c r="BB18" i="1"/>
  <c r="BA18" i="1"/>
  <c r="BB17" i="1"/>
  <c r="BA17" i="1"/>
  <c r="BB16" i="1"/>
  <c r="BA16" i="1"/>
  <c r="BB15" i="1"/>
  <c r="BA15" i="1"/>
  <c r="BB14" i="1"/>
  <c r="BA14" i="1"/>
  <c r="BB13" i="1"/>
  <c r="BA13" i="1"/>
  <c r="BB12" i="1"/>
  <c r="BA12" i="1"/>
  <c r="BB11" i="1"/>
  <c r="BA11" i="1"/>
  <c r="BB10" i="1"/>
  <c r="BA10" i="1"/>
</calcChain>
</file>

<file path=xl/comments1.xml><?xml version="1.0" encoding="utf-8"?>
<comments xmlns="http://schemas.openxmlformats.org/spreadsheetml/2006/main">
  <authors>
    <author>User987</author>
  </authors>
  <commentList>
    <comment ref="A10" authorId="0" shapeId="0">
      <text>
        <r>
          <rPr>
            <sz val="9"/>
            <color indexed="81"/>
            <rFont val="Tahoma"/>
            <family val="2"/>
            <charset val="204"/>
          </rPr>
          <t>Картофель, свекла, огурцы, горошек, морковь, лук, масло подсолнечное, специи</t>
        </r>
      </text>
    </comment>
    <comment ref="A11" authorId="0" shapeId="0">
      <text>
        <r>
          <rPr>
            <sz val="9"/>
            <color indexed="81"/>
            <rFont val="Tahoma"/>
            <family val="2"/>
            <charset val="204"/>
          </rPr>
          <t>Свекла, капуста квашеная, горошек, огурцы маринованные, морковь, масло подсолнечное, укроп, лук, соль</t>
        </r>
      </text>
    </comment>
    <comment ref="A12" authorId="0" shapeId="0">
      <text>
        <r>
          <rPr>
            <sz val="9"/>
            <color indexed="81"/>
            <rFont val="Tahoma"/>
            <family val="2"/>
            <charset val="204"/>
          </rPr>
          <t>Морковь, масло подсолнечное, сахар, уксус, соль, чеснок, перец, кунжут, кориандр</t>
        </r>
      </text>
    </comment>
    <comment ref="A13" authorId="0" shapeId="0">
      <text>
        <r>
          <rPr>
            <sz val="9"/>
            <color indexed="81"/>
            <rFont val="Tahoma"/>
            <family val="2"/>
            <charset val="204"/>
          </rPr>
          <t>Куриная грудка, ветчина из индейки, молоко, огурцы, яйцо, майонез</t>
        </r>
      </text>
    </comment>
    <comment ref="A14" authorId="0" shapeId="0">
      <text>
        <r>
          <rPr>
            <sz val="9"/>
            <color indexed="81"/>
            <rFont val="Tahoma"/>
            <family val="2"/>
            <charset val="204"/>
          </rPr>
          <t>Картофель, горбуша, сайра, морковь, сыр, яйцо, майонез</t>
        </r>
      </text>
    </comment>
    <comment ref="A15" authorId="0" shapeId="0">
      <text>
        <r>
          <rPr>
            <sz val="9"/>
            <color indexed="81"/>
            <rFont val="Tahoma"/>
            <family val="2"/>
            <charset val="204"/>
          </rPr>
          <t>Рис, крабовые палочки, кукуруза, морковь, огурцы, яйцо, майонез, специи</t>
        </r>
      </text>
    </comment>
    <comment ref="A16" authorId="0" shapeId="0">
      <text>
        <r>
          <rPr>
            <sz val="9"/>
            <color indexed="81"/>
            <rFont val="Tahoma"/>
            <family val="2"/>
            <charset val="204"/>
          </rPr>
          <t>Картофель, морковь, колбаса, яйцо, горошек, майонез, специи</t>
        </r>
      </text>
    </comment>
    <comment ref="A17" authorId="0" shapeId="0">
      <text>
        <r>
          <rPr>
            <sz val="9"/>
            <color indexed="81"/>
            <rFont val="Tahoma"/>
            <family val="2"/>
            <charset val="204"/>
          </rPr>
          <t>Сельдь филе, картофель, морковь, свекла, майонез, специи</t>
        </r>
      </text>
    </comment>
    <comment ref="A18" authorId="0" shapeId="0">
      <text>
        <r>
          <rPr>
            <sz val="9"/>
            <color indexed="81"/>
            <rFont val="Tahoma"/>
            <family val="2"/>
            <charset val="204"/>
          </rPr>
          <t>Картофель, морковь, куриное филе, яйцо, горошек, майонез, специи</t>
        </r>
      </text>
    </comment>
    <comment ref="A19" authorId="0" shapeId="0">
      <text>
        <r>
          <rPr>
            <sz val="9"/>
            <color indexed="81"/>
            <rFont val="Tahoma"/>
            <family val="2"/>
            <charset val="204"/>
          </rPr>
          <t>Лапша рисовая, огурцы, перец болгарский, морковь, петрушка, лук, чеснок, кунжут, соус</t>
        </r>
      </text>
    </comment>
    <comment ref="A20" authorId="0" shapeId="0">
      <text>
        <r>
          <rPr>
            <sz val="9"/>
            <color indexed="81"/>
            <rFont val="Tahoma"/>
            <family val="2"/>
            <charset val="204"/>
          </rPr>
          <t>Салат, помидоры, куриная грудка, сыр, гренки чесночные, майонез</t>
        </r>
      </text>
    </comment>
    <comment ref="A21" authorId="0" shapeId="0">
      <text>
        <r>
          <rPr>
            <sz val="9"/>
            <color indexed="81"/>
            <rFont val="Tahoma"/>
            <family val="2"/>
            <charset val="204"/>
          </rPr>
          <t>Свекла, чеснок, майонез, специи, зелень</t>
        </r>
      </text>
    </comment>
    <comment ref="A22" authorId="0" shapeId="0">
      <text>
        <r>
          <rPr>
            <sz val="9"/>
            <color indexed="81"/>
            <rFont val="Tahoma"/>
            <family val="2"/>
            <charset val="204"/>
          </rPr>
          <t>Салат, соус, помидоры, огурцы, сыр, перец болгарский, маслины, кунжут</t>
        </r>
      </text>
    </comment>
    <comment ref="A23" authorId="0" shapeId="0">
      <text>
        <r>
          <rPr>
            <sz val="9"/>
            <color indexed="81"/>
            <rFont val="Tahoma"/>
            <family val="2"/>
            <charset val="204"/>
          </rPr>
          <t>Салат, помидоры, куриная грудка, сыр, гренки чесночные, соус</t>
        </r>
      </text>
    </comment>
    <comment ref="A24" authorId="0" shapeId="0">
      <text>
        <r>
          <rPr>
            <sz val="9"/>
            <color indexed="81"/>
            <rFont val="Tahoma"/>
            <family val="2"/>
            <charset val="204"/>
          </rPr>
          <t>Картофель, горбуша, сайра, морковь, сыр, яйцо, майонез</t>
        </r>
      </text>
    </comment>
    <comment ref="A25" authorId="0" shapeId="0">
      <text>
        <r>
          <rPr>
            <sz val="9"/>
            <color indexed="81"/>
            <rFont val="Tahoma"/>
            <family val="2"/>
            <charset val="204"/>
          </rPr>
          <t>Картофель, морковь, куриное филе, яйцо, горошек, майонез, специи</t>
        </r>
      </text>
    </comment>
    <comment ref="A26" authorId="0" shapeId="0">
      <text>
        <r>
          <rPr>
            <sz val="9"/>
            <color indexed="81"/>
            <rFont val="Tahoma"/>
            <family val="2"/>
            <charset val="204"/>
          </rPr>
          <t>Сельдь филе, картофель, морковь, свекла, яйцо, майонез, специи</t>
        </r>
      </text>
    </comment>
    <comment ref="A27" authorId="0" shapeId="0">
      <text>
        <r>
          <rPr>
            <sz val="9"/>
            <color indexed="81"/>
            <rFont val="Tahoma"/>
            <family val="2"/>
            <charset val="204"/>
          </rPr>
          <t>Капуста пекинская, грудка куриная, яблоки, сельдерей, майонез, лимонная заправка</t>
        </r>
      </text>
    </comment>
    <comment ref="A28" authorId="0" shapeId="0">
      <text>
        <r>
          <rPr>
            <sz val="9"/>
            <color indexed="81"/>
            <rFont val="Tahoma"/>
            <family val="2"/>
            <charset val="204"/>
          </rPr>
          <t>Помидоры, огурцы, масло подсолнечное, лук, укроп</t>
        </r>
      </text>
    </comment>
    <comment ref="A29" authorId="0" shapeId="0">
      <text>
        <r>
          <rPr>
            <sz val="9"/>
            <color indexed="81"/>
            <rFont val="Tahoma"/>
            <family val="2"/>
            <charset val="204"/>
          </rPr>
          <t>грдка куриная, майонез, чернослив, блины яичные, молоко, ананас, огурец, арахис</t>
        </r>
      </text>
    </comment>
    <comment ref="A30" authorId="0" shapeId="0">
      <text>
        <r>
          <rPr>
            <sz val="9"/>
            <color indexed="81"/>
            <rFont val="Tahoma"/>
            <family val="2"/>
            <charset val="204"/>
          </rPr>
          <t>Капуста б/к, морковь, свекла, петрушка, чеснок, уксус, специи</t>
        </r>
      </text>
    </comment>
    <comment ref="A35" authorId="0" shapeId="0">
      <text>
        <r>
          <rPr>
            <sz val="9"/>
            <color indexed="81"/>
            <rFont val="Tahoma"/>
            <family val="2"/>
            <charset val="204"/>
          </rPr>
          <t>Овсяные хлопья, молоко, сахар, масло сливочное, соль</t>
        </r>
      </text>
    </comment>
    <comment ref="A36" authorId="0" shapeId="0">
      <text>
        <r>
          <rPr>
            <sz val="9"/>
            <color indexed="81"/>
            <rFont val="Tahoma"/>
            <family val="2"/>
            <charset val="204"/>
          </rPr>
          <t>Пшено, молоко, сахар, масло сливочное, соль</t>
        </r>
      </text>
    </comment>
    <comment ref="A37" authorId="0" shapeId="0">
      <text>
        <r>
          <rPr>
            <sz val="9"/>
            <color indexed="81"/>
            <rFont val="Tahoma"/>
            <family val="2"/>
            <charset val="204"/>
          </rPr>
          <t>Рис, молоко, сахар, масло сливочное, соль</t>
        </r>
      </text>
    </comment>
    <comment ref="A38" authorId="0" shapeId="0">
      <text>
        <r>
          <rPr>
            <sz val="9"/>
            <color indexed="81"/>
            <rFont val="Tahoma"/>
            <family val="2"/>
            <charset val="204"/>
          </rPr>
          <t>молоко, крупа манная, сливки, изюм, вишня, яблоко, сахар, корица</t>
        </r>
      </text>
    </comment>
    <comment ref="A39" authorId="0" shapeId="0">
      <text>
        <r>
          <rPr>
            <sz val="9"/>
            <color indexed="81"/>
            <rFont val="Tahoma"/>
            <family val="2"/>
            <charset val="204"/>
          </rPr>
          <t>Творог, сахар, яйцо, крупа манная, ванилин, масло подсолнечное</t>
        </r>
      </text>
    </comment>
    <comment ref="A40" authorId="0" shapeId="0">
      <text>
        <r>
          <rPr>
            <sz val="9"/>
            <color indexed="81"/>
            <rFont val="Tahoma"/>
            <family val="2"/>
            <charset val="204"/>
          </rPr>
          <t>Молоко 3,2%, мука пшеничная, сыр, яйцо, масло подсолнечное, сахар, соль, майонез 67%, чеснок</t>
        </r>
      </text>
    </comment>
    <comment ref="A41" authorId="0" shapeId="0">
      <text>
        <r>
          <rPr>
            <sz val="9"/>
            <color indexed="81"/>
            <rFont val="Tahoma"/>
            <family val="2"/>
            <charset val="204"/>
          </rPr>
          <t>Молоко, сыр, яйцо, куриное филе, томаты, майонез, масло, лук, укроп, перец чёрный</t>
        </r>
      </text>
    </comment>
    <comment ref="A42" authorId="0" shapeId="0">
      <text>
        <r>
          <rPr>
            <sz val="9"/>
            <color indexed="81"/>
            <rFont val="Tahoma"/>
            <family val="2"/>
            <charset val="204"/>
          </rPr>
          <t>Яйцо куриное, филе куриной грудки, томаты, майонез 67%, масло подсолнечное, лук репчатый, укроп, соль, перец чёрный</t>
        </r>
      </text>
    </comment>
    <comment ref="A44" authorId="0" shapeId="0">
      <text>
        <r>
          <rPr>
            <sz val="9"/>
            <color indexed="81"/>
            <rFont val="Tahoma"/>
            <family val="2"/>
            <charset val="204"/>
          </rPr>
          <t>Яйцо, молоко, соль, помидоры, укроп</t>
        </r>
      </text>
    </comment>
    <comment ref="A45" authorId="0" shapeId="0">
      <text>
        <r>
          <rPr>
            <sz val="9"/>
            <color indexed="81"/>
            <rFont val="Tahoma"/>
            <family val="2"/>
            <charset val="204"/>
          </rPr>
          <t>Яйцо, молоко, соль, сосиски</t>
        </r>
      </text>
    </comment>
    <comment ref="A47" authorId="0" shapeId="0">
      <text>
        <r>
          <rPr>
            <sz val="9"/>
            <color indexed="81"/>
            <rFont val="Tahoma"/>
            <family val="2"/>
            <charset val="204"/>
          </rPr>
          <t>Картофель, крупа перловая, морковь, петрушка, лук, огурец, говядина</t>
        </r>
      </text>
    </comment>
    <comment ref="A48" authorId="0" shapeId="0">
      <text>
        <r>
          <rPr>
            <sz val="9"/>
            <color indexed="81"/>
            <rFont val="Tahoma"/>
            <family val="2"/>
            <charset val="204"/>
          </rPr>
          <t>Горох, грудинка копченая, картофель, морковь, лук, томаты, перец болгарский, соль, лист лавровый</t>
        </r>
      </text>
    </comment>
    <comment ref="A50" authorId="0" shapeId="0">
      <text>
        <r>
          <rPr>
            <sz val="9"/>
            <color indexed="81"/>
            <rFont val="Tahoma"/>
            <family val="2"/>
            <charset val="204"/>
          </rPr>
          <t>Окорочка куриные, масло подсолнечное, соль, чеснок, паприка, кориандр.</t>
        </r>
      </text>
    </comment>
    <comment ref="A51" authorId="0" shapeId="0">
      <text>
        <r>
          <rPr>
            <sz val="9"/>
            <color indexed="81"/>
            <rFont val="Tahoma"/>
            <family val="2"/>
            <charset val="204"/>
          </rPr>
          <t>Филе куриной грудки, майонез , масло подсолнечное, соль, паприка</t>
        </r>
      </text>
    </comment>
    <comment ref="A52" authorId="0" shapeId="0">
      <text>
        <r>
          <rPr>
            <sz val="9"/>
            <color indexed="81"/>
            <rFont val="Tahoma"/>
            <family val="2"/>
            <charset val="204"/>
          </rPr>
          <t>курица, морковь, лук репчатый, рис, кукуруза, перец болгарский,карри, лук зеленый, кинза, соевый соус, масло растительное, специи</t>
        </r>
      </text>
    </comment>
    <comment ref="A53" authorId="0" shapeId="0">
      <text>
        <r>
          <rPr>
            <sz val="9"/>
            <color indexed="81"/>
            <rFont val="Tahoma"/>
            <family val="2"/>
            <charset val="204"/>
          </rPr>
          <t>Говядина, картофель, молоко, лук, помидоры, перец болгарский, масло подсолнечное, специи</t>
        </r>
      </text>
    </comment>
    <comment ref="A54" authorId="0" shapeId="0">
      <text>
        <r>
          <rPr>
            <sz val="9"/>
            <color indexed="81"/>
            <rFont val="Tahoma"/>
            <family val="2"/>
            <charset val="204"/>
          </rPr>
          <t>Филе куриное, гречка, сухари панировочные, лук репчатый, масло сливочное, масло подсолнечное, соль</t>
        </r>
      </text>
    </comment>
    <comment ref="A55" authorId="0" shapeId="0">
      <text>
        <r>
          <rPr>
            <sz val="9"/>
            <color indexed="81"/>
            <rFont val="Tahoma"/>
            <family val="2"/>
            <charset val="204"/>
          </rPr>
          <t>Филе куриной грудки, картофель, молоко, сыр, грибы, майонез, специи</t>
        </r>
      </text>
    </comment>
    <comment ref="A56" authorId="0" shapeId="0">
      <text>
        <r>
          <rPr>
            <sz val="9"/>
            <color indexed="81"/>
            <rFont val="Tahoma"/>
            <family val="2"/>
            <charset val="204"/>
          </rPr>
          <t>Филе куриное, картофель, молоко, лук, специи</t>
        </r>
      </text>
    </comment>
    <comment ref="A57" authorId="0" shapeId="0">
      <text>
        <r>
          <rPr>
            <sz val="9"/>
            <color indexed="81"/>
            <rFont val="Tahoma"/>
            <family val="2"/>
            <charset val="204"/>
          </rPr>
          <t>Филе куриной грудки, картофель, молоко, сухари панировочные, яйцо, масло сливочное, чеснок, соль, укроп</t>
        </r>
      </text>
    </comment>
    <comment ref="A58" authorId="0" shapeId="0">
      <text>
        <r>
          <rPr>
            <sz val="9"/>
            <color indexed="81"/>
            <rFont val="Tahoma"/>
            <family val="2"/>
            <charset val="204"/>
          </rPr>
          <t>Филе индейки, филе куриной грудки, картофель, лук, сухари панировочные, яйцо, масло подсолнечное, соль, чеснок, перец черный</t>
        </r>
      </text>
    </comment>
    <comment ref="A59" authorId="0" shapeId="0">
      <text>
        <r>
          <rPr>
            <sz val="9"/>
            <color indexed="81"/>
            <rFont val="Tahoma"/>
            <family val="2"/>
            <charset val="204"/>
          </rPr>
          <t>куриная грудка,масло подсолнечное, лук, чеснок, специи	, спагетти</t>
        </r>
      </text>
    </comment>
    <comment ref="A60" authorId="0" shapeId="0">
      <text>
        <r>
          <rPr>
            <sz val="9"/>
            <color indexed="81"/>
            <rFont val="Tahoma"/>
            <family val="2"/>
            <charset val="204"/>
          </rPr>
          <t>Филе куриной грудки, сыр, картофель, молоко, яйцо, масло подсолнечное, соль</t>
        </r>
      </text>
    </comment>
    <comment ref="A61" authorId="0" shapeId="0">
      <text>
        <r>
          <rPr>
            <sz val="9"/>
            <color indexed="81"/>
            <rFont val="Tahoma"/>
            <family val="2"/>
            <charset val="204"/>
          </rPr>
          <t>Филе куриной грудки, гречка, шампиньоны, лук , масло подсолнечное, чеснок, соль, перец чёрный</t>
        </r>
      </text>
    </comment>
    <comment ref="A62" authorId="0" shapeId="0">
      <text>
        <r>
          <rPr>
            <sz val="9"/>
            <color indexed="81"/>
            <rFont val="Tahoma"/>
            <family val="2"/>
            <charset val="204"/>
          </rPr>
          <t>Крыло куриное, мука пшеничная в/с, масло подсолнечное, соль, сахар, специи.</t>
        </r>
      </text>
    </comment>
    <comment ref="A63" authorId="0" shapeId="0">
      <text>
        <r>
          <rPr>
            <sz val="9"/>
            <color indexed="81"/>
            <rFont val="Tahoma"/>
            <family val="2"/>
            <charset val="204"/>
          </rPr>
          <t>Лапша лагманная, куриная грудка, лук, помидоры, морковь, фасоль, перец болгарский, соль, петрушка, кориандр</t>
        </r>
      </text>
    </comment>
    <comment ref="A64" authorId="0" shapeId="0">
      <text>
        <r>
          <rPr>
            <sz val="9"/>
            <color indexed="81"/>
            <rFont val="Tahoma"/>
            <family val="2"/>
            <charset val="204"/>
          </rPr>
          <t>Свинина, шампиньоны, лук, сыр, картофель, молоко, майонез, специи</t>
        </r>
      </text>
    </comment>
    <comment ref="A65" authorId="0" shapeId="0">
      <text>
        <r>
          <rPr>
            <sz val="9"/>
            <color indexed="81"/>
            <rFont val="Tahoma"/>
            <family val="2"/>
            <charset val="204"/>
          </rPr>
          <t>Спагетти, лук репчатый, помидоры, говядина, свинина, перец болгарский, масло подсолнечное, томатная паста, чеснок, соль</t>
        </r>
      </text>
    </comment>
    <comment ref="A66" authorId="0" shapeId="0">
      <text>
        <r>
          <rPr>
            <sz val="9"/>
            <color indexed="81"/>
            <rFont val="Tahoma"/>
            <family val="2"/>
            <charset val="204"/>
          </rPr>
          <t>Спагетти, грудинка свиная, окорок свиной, лук, сыр, сливки, молоко, масло подсолнечное, соль</t>
        </r>
      </text>
    </comment>
    <comment ref="A67" authorId="0" shapeId="0">
      <text>
        <r>
          <rPr>
            <sz val="9"/>
            <color indexed="81"/>
            <rFont val="Tahoma"/>
            <family val="2"/>
            <charset val="204"/>
          </rPr>
          <t>Рис, филе куриной грудки, морковь, лук, масло подсолнечное, соль</t>
        </r>
      </text>
    </comment>
    <comment ref="A68" authorId="0" shapeId="0">
      <text>
        <r>
          <rPr>
            <sz val="9"/>
            <color indexed="81"/>
            <rFont val="Tahoma"/>
            <family val="2"/>
            <charset val="204"/>
          </rPr>
          <t>Рис, говядина, морковь, лук, масло подсолнечное, соль</t>
        </r>
      </text>
    </comment>
    <comment ref="A69" authorId="0" shapeId="0">
      <text>
        <r>
          <rPr>
            <sz val="9"/>
            <color indexed="81"/>
            <rFont val="Tahoma"/>
            <family val="2"/>
            <charset val="204"/>
          </rPr>
          <t>Сосиски, макароны, кетчуп</t>
        </r>
      </text>
    </comment>
    <comment ref="A70" authorId="0" shapeId="0">
      <text>
        <r>
          <rPr>
            <sz val="9"/>
            <color indexed="81"/>
            <rFont val="Tahoma"/>
            <family val="2"/>
            <charset val="204"/>
          </rPr>
          <t>Говядина, свинина, курица, лук, рис, морковь, яйцо, перец, картофель, молоко</t>
        </r>
      </text>
    </comment>
    <comment ref="A71" authorId="0" shapeId="0">
      <text>
        <r>
          <rPr>
            <sz val="9"/>
            <color indexed="81"/>
            <rFont val="Tahoma"/>
            <family val="2"/>
            <charset val="204"/>
          </rPr>
          <t>Филе минтая, яйцо, мука пшеничная в/с, сыр, масло подсолнечное, соль, картофель, молоко</t>
        </r>
      </text>
    </comment>
    <comment ref="A72" authorId="0" shapeId="0">
      <text>
        <r>
          <rPr>
            <sz val="9"/>
            <color indexed="81"/>
            <rFont val="Tahoma"/>
            <family val="2"/>
            <charset val="204"/>
          </rPr>
          <t>Филе куриной грудки, майонез , картофель, молоко, масло подсолнечное, паприка, чеснок, соль.</t>
        </r>
      </text>
    </comment>
    <comment ref="A73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яйцо куриное, масло подсолнечное, соль, куриная грудка, лук репчатый, говядина, перец чёрный</t>
        </r>
      </text>
    </comment>
    <comment ref="A74" authorId="0" shapeId="0">
      <text>
        <r>
          <rPr>
            <sz val="9"/>
            <color indexed="81"/>
            <rFont val="Tahoma"/>
            <family val="2"/>
            <charset val="204"/>
          </rPr>
          <t>Филе горбуши, яйцо, сухари панировочные, рис, кукуруза консервированная, горошек, морковь, перец болгарский, масло подсолнечное, специи</t>
        </r>
      </text>
    </comment>
    <comment ref="A75" authorId="0" shapeId="0">
      <text>
        <r>
          <rPr>
            <sz val="9"/>
            <color indexed="81"/>
            <rFont val="Tahoma"/>
            <family val="2"/>
            <charset val="204"/>
          </rPr>
          <t>Свинина, куриное филе, лук, картофель, капуста, масло подсолнечное, яйцо, петрушка, соль, чеснок, перец, макароны</t>
        </r>
      </text>
    </comment>
    <comment ref="A76" authorId="0" shapeId="0">
      <text>
        <r>
          <rPr>
            <sz val="9"/>
            <color indexed="81"/>
            <rFont val="Tahoma"/>
            <family val="2"/>
            <charset val="204"/>
          </rPr>
          <t>пенне, окорок свиной, свинина грудинка, лук, сливки, молоко, сыр</t>
        </r>
      </text>
    </comment>
    <comment ref="A77" authorId="0" shapeId="0">
      <text>
        <r>
          <rPr>
            <sz val="9"/>
            <color indexed="81"/>
            <rFont val="Tahoma"/>
            <family val="2"/>
            <charset val="204"/>
          </rPr>
          <t>колбаски баварские9 говядина, свинина), макароны, кетчуп, специи</t>
        </r>
      </text>
    </comment>
    <comment ref="A78" authorId="0" shapeId="0">
      <text>
        <r>
          <rPr>
            <sz val="9"/>
            <color indexed="81"/>
            <rFont val="Tahoma"/>
            <family val="2"/>
            <charset val="204"/>
          </rPr>
          <t>колбаски куриные, картофельное пюре, молко, сливки, масло сливочное, специи</t>
        </r>
      </text>
    </comment>
    <comment ref="A79" authorId="0" shapeId="0">
      <text>
        <r>
          <rPr>
            <sz val="9"/>
            <color indexed="81"/>
            <rFont val="Tahoma"/>
            <family val="2"/>
            <charset val="204"/>
          </rPr>
          <t>Рис, филе куриной грудки, яйцо, морковь, брокколи, лук, перец болгарский, соус, чеснок, петрушка, кунжут</t>
        </r>
      </text>
    </comment>
    <comment ref="A80" authorId="0" shapeId="0">
      <text>
        <r>
          <rPr>
            <sz val="9"/>
            <color indexed="81"/>
            <rFont val="Tahoma"/>
            <family val="2"/>
            <charset val="204"/>
          </rPr>
          <t>куриная грудка, рис, капуста краснокачанная, огурцы, томаты черри, специи</t>
        </r>
      </text>
    </comment>
    <comment ref="A81" authorId="0" shapeId="0">
      <text>
        <r>
          <rPr>
            <sz val="9"/>
            <color indexed="81"/>
            <rFont val="Tahoma"/>
            <family val="2"/>
            <charset val="204"/>
          </rPr>
          <t>рис, семга слабосоленая, сыр творожный, томаты черри, редис,огурцы, бобы эдамаме, специи</t>
        </r>
      </text>
    </comment>
    <comment ref="A82" authorId="0" shapeId="0">
      <text>
        <r>
          <rPr>
            <sz val="9"/>
            <color indexed="81"/>
            <rFont val="Tahoma"/>
            <family val="2"/>
            <charset val="204"/>
          </rPr>
          <t>рис, куриное филе, лук, морковь, огурцы, блин-омлет, специи</t>
        </r>
      </text>
    </comment>
    <comment ref="A83" authorId="0" shapeId="0">
      <text>
        <r>
          <rPr>
            <sz val="9"/>
            <color indexed="81"/>
            <rFont val="Tahoma"/>
            <family val="2"/>
            <charset val="204"/>
          </rPr>
          <t>филе горбуши, спагетти, лук, помидоры, морковь, соус Песто</t>
        </r>
      </text>
    </comment>
    <comment ref="A84" authorId="0" shapeId="0">
      <text>
        <r>
          <rPr>
            <sz val="9"/>
            <color indexed="81"/>
            <rFont val="Tahoma"/>
            <family val="2"/>
            <charset val="204"/>
          </rPr>
          <t>говядина, свинина, лук, картофель, молоко, сливки</t>
        </r>
      </text>
    </comment>
    <comment ref="A85" authorId="0" shapeId="0">
      <text>
        <r>
          <rPr>
            <sz val="9"/>
            <color indexed="81"/>
            <rFont val="Tahoma"/>
            <family val="2"/>
            <charset val="204"/>
          </rPr>
          <t>говядина, свинина, лук, макароны, специи</t>
        </r>
      </text>
    </comment>
    <comment ref="A86" authorId="0" shapeId="0">
      <text>
        <r>
          <rPr>
            <sz val="9"/>
            <color indexed="81"/>
            <rFont val="Tahoma"/>
            <family val="2"/>
            <charset val="204"/>
          </rPr>
          <t>Картофель, говядина, морковь, перец болгарский, помидоры, лук, соль, перец черный</t>
        </r>
      </text>
    </comment>
    <comment ref="A87" authorId="0" shapeId="0">
      <text>
        <r>
          <rPr>
            <sz val="9"/>
            <color indexed="81"/>
            <rFont val="Tahoma"/>
            <family val="2"/>
            <charset val="204"/>
          </rPr>
          <t>курица, морковь, томаты, перец болгарский, картофель, капуста, лук, чеснок, укроп, петрушка, соль, масло подсолнечное</t>
        </r>
      </text>
    </comment>
    <comment ref="A88" authorId="0" shapeId="0">
      <text>
        <r>
          <rPr>
            <sz val="9"/>
            <color indexed="81"/>
            <rFont val="Tahoma"/>
            <family val="2"/>
            <charset val="204"/>
          </rPr>
          <t>Говядина, филе куриной грудки, рис, морковь, лук репчатый, картофель, масло подсолнечное, яйцо куриное, соль</t>
        </r>
      </text>
    </comment>
    <comment ref="A90" authorId="0" shapeId="0">
      <text>
        <r>
          <rPr>
            <sz val="9"/>
            <color indexed="81"/>
            <rFont val="Tahoma"/>
            <family val="2"/>
            <charset val="204"/>
          </rPr>
          <t>Говядина, курица, лук, соль, перец черный, яйцо, масло подсолнечное, сметана</t>
        </r>
      </text>
    </comment>
    <comment ref="A91" authorId="0" shapeId="0">
      <text>
        <r>
          <rPr>
            <sz val="9"/>
            <color indexed="81"/>
            <rFont val="Tahoma"/>
            <family val="2"/>
            <charset val="204"/>
          </rPr>
          <t>Говядина, курица, тыква, лук, соль, перец черный, яйцо, масло подсолнечное, сметана</t>
        </r>
      </text>
    </comment>
    <comment ref="A93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свинина, капуста, лук, масло подсолнечное, чеснок, соль, перец черный</t>
        </r>
      </text>
    </comment>
    <comment ref="A94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пшеничная, творог, молоко, сливки, сахар, масло сливочное, соль, масло подсолнечное.</t>
        </r>
      </text>
    </comment>
    <comment ref="A95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масло подсолнечное, картофель, шампиньоны, лук, соль</t>
        </r>
      </text>
    </comment>
    <comment ref="A97" authorId="0" shapeId="0">
      <text>
        <r>
          <rPr>
            <sz val="9"/>
            <color indexed="81"/>
            <rFont val="Tahoma"/>
            <family val="2"/>
            <charset val="204"/>
          </rPr>
          <t>Гречка, масло подсолнечное, соль</t>
        </r>
      </text>
    </comment>
    <comment ref="A98" authorId="0" shapeId="0">
      <text>
        <r>
          <rPr>
            <sz val="9"/>
            <color indexed="81"/>
            <rFont val="Tahoma"/>
            <family val="2"/>
            <charset val="204"/>
          </rPr>
          <t>Рис, лук, морковь, масло подсолнечное, соль</t>
        </r>
      </text>
    </comment>
    <comment ref="A100" authorId="0" shapeId="0">
      <text>
        <r>
          <rPr>
            <sz val="9"/>
            <color indexed="81"/>
            <rFont val="Tahoma"/>
            <family val="2"/>
            <charset val="204"/>
          </rPr>
          <t>Капуста, масло подсолнечное, лук, морковь, специи</t>
        </r>
      </text>
    </comment>
    <comment ref="A102" authorId="0" shapeId="0">
      <text>
        <r>
          <rPr>
            <sz val="9"/>
            <color indexed="81"/>
            <rFont val="Tahoma"/>
            <family val="2"/>
            <charset val="204"/>
          </rPr>
          <t>Мука в/с, молоко, масло подсолнечное, яйцо, сахар, соль</t>
        </r>
      </text>
    </comment>
    <comment ref="A103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яйцо, молоко, сахар, масло подсолнечное, соль, куриная грудка, лук репчатый, шампиньоны свежие, соус "Бешамель", перец чёрный, сыр "Чечел"</t>
        </r>
      </text>
    </comment>
    <comment ref="A108" authorId="0" shapeId="0">
      <text>
        <r>
          <rPr>
            <sz val="9"/>
            <color indexed="81"/>
            <rFont val="Tahoma"/>
            <family val="2"/>
            <charset val="204"/>
          </rPr>
          <t>Мука в/с, молоко, масло подсолнечное, яйца, сахар, соль, ветчина, сыр, яйцо, сухари панировочные</t>
        </r>
      </text>
    </comment>
    <comment ref="A109" authorId="0" shapeId="0">
      <text>
        <r>
          <rPr>
            <sz val="9"/>
            <color indexed="81"/>
            <rFont val="Tahoma"/>
            <family val="2"/>
            <charset val="204"/>
          </rPr>
          <t>Мука в/с, молоко, яйцо, сливочное масло, сахар, дрожжи, соль, свинина, говядина, лук</t>
        </r>
      </text>
    </comment>
    <comment ref="A110" authorId="0" shapeId="0">
      <text>
        <r>
          <rPr>
            <sz val="9"/>
            <color indexed="81"/>
            <rFont val="Tahoma"/>
            <family val="2"/>
            <charset val="204"/>
          </rPr>
          <t>Мука в/с, молоко, яйцо, масло сливочное, сахар, дрожжи, соль, творог 9%, сахар</t>
        </r>
      </text>
    </comment>
    <comment ref="A111" authorId="0" shapeId="0">
      <text>
        <r>
          <rPr>
            <sz val="9"/>
            <color indexed="81"/>
            <rFont val="Tahoma"/>
            <family val="2"/>
            <charset val="204"/>
          </rPr>
          <t>мука, сливки, молоко, масло сливочное, курица, лук, соль</t>
        </r>
      </text>
    </comment>
    <comment ref="A112" authorId="0" shapeId="0">
      <text>
        <r>
          <rPr>
            <sz val="9"/>
            <color indexed="81"/>
            <rFont val="Tahoma"/>
            <family val="2"/>
            <charset val="204"/>
          </rPr>
          <t>Мука в/с, молоко, яйцо, масло сливочное, дрожжи, соль, яблоки, сахар</t>
        </r>
      </text>
    </comment>
    <comment ref="A114" authorId="0" shapeId="0">
      <text>
        <r>
          <rPr>
            <sz val="9"/>
            <color indexed="81"/>
            <rFont val="Tahoma"/>
            <family val="2"/>
            <charset val="204"/>
          </rPr>
          <t>Лаваш, ветчина, сыр, огурцы, салат</t>
        </r>
      </text>
    </comment>
    <comment ref="A115" authorId="0" shapeId="0">
      <text>
        <r>
          <rPr>
            <sz val="9"/>
            <color indexed="81"/>
            <rFont val="Tahoma"/>
            <family val="2"/>
            <charset val="204"/>
          </rPr>
          <t>Лаваш, куриная грудка, сыр, помидоры, соус, салат</t>
        </r>
      </text>
    </comment>
    <comment ref="A116" authorId="0" shapeId="0">
      <text>
        <r>
          <rPr>
            <sz val="9"/>
            <color indexed="81"/>
            <rFont val="Tahoma"/>
            <family val="2"/>
            <charset val="204"/>
          </rPr>
          <t>Лаваш, лосось пряного посола, блин яичный, помидоры, капуста пекинская, масло сливочное</t>
        </r>
      </text>
    </comment>
    <comment ref="A117" authorId="0" shapeId="0">
      <text>
        <r>
          <rPr>
            <sz val="9"/>
            <color indexed="81"/>
            <rFont val="Tahoma"/>
            <family val="2"/>
            <charset val="204"/>
          </rPr>
          <t>Лаваш, наггетсы куриные, хашбраун картофельный, огурцы, соус</t>
        </r>
      </text>
    </comment>
    <comment ref="A118" authorId="0" shapeId="0">
      <text>
        <r>
          <rPr>
            <sz val="9"/>
            <color indexed="81"/>
            <rFont val="Tahoma"/>
            <family val="2"/>
            <charset val="204"/>
          </rPr>
          <t>Лаваш, филе куриное, капуста б/к, томаты, огурцы маринованные, соль, чеснок, перец, яйцо, соус</t>
        </r>
      </text>
    </comment>
    <comment ref="A120" authorId="0" shapeId="0">
      <text>
        <r>
          <rPr>
            <sz val="9"/>
            <color indexed="81"/>
            <rFont val="Tahoma"/>
            <family val="2"/>
            <charset val="204"/>
          </rPr>
          <t>Багет пшеничный, буженина, соус пикантный, томаты, капуста пекинская</t>
        </r>
      </text>
    </comment>
    <comment ref="A121" authorId="0" shapeId="0">
      <text>
        <r>
          <rPr>
            <sz val="9"/>
            <color indexed="81"/>
            <rFont val="Tahoma"/>
            <family val="2"/>
            <charset val="204"/>
          </rPr>
          <t>Багет пшеничный, ветчина, капуста, соус, специи</t>
        </r>
      </text>
    </comment>
    <comment ref="A122" authorId="0" shapeId="0">
      <text>
        <r>
          <rPr>
            <sz val="9"/>
            <color indexed="81"/>
            <rFont val="Tahoma"/>
            <family val="2"/>
            <charset val="204"/>
          </rPr>
          <t>Багет пшеничный, куриное филе, капуста, соус</t>
        </r>
      </text>
    </comment>
    <comment ref="A123" authorId="0" shapeId="0">
      <text>
        <r>
          <rPr>
            <sz val="9"/>
            <color indexed="81"/>
            <rFont val="Tahoma"/>
            <family val="2"/>
            <charset val="204"/>
          </rPr>
          <t>Багет пшеничный, рулет куриный, огурец маринованный, капуста пекинская, соус</t>
        </r>
      </text>
    </comment>
    <comment ref="A124" authorId="0" shapeId="0">
      <text>
        <r>
          <rPr>
            <sz val="9"/>
            <color indexed="81"/>
            <rFont val="Tahoma"/>
            <family val="2"/>
            <charset val="204"/>
          </rPr>
          <t>Багет пшеничный, рулет из индейки, сыр, пекинская капуста, соус</t>
        </r>
      </text>
    </comment>
    <comment ref="A125" authorId="0" shapeId="0">
      <text>
        <r>
          <rPr>
            <sz val="9"/>
            <color indexed="81"/>
            <rFont val="Tahoma"/>
            <family val="2"/>
            <charset val="204"/>
          </rPr>
          <t>Багет пшеничный, ветчина, сыр, огурцы маринованные, капуста пекинская, соус</t>
        </r>
      </text>
    </comment>
    <comment ref="A126" authorId="0" shapeId="0">
      <text>
        <r>
          <rPr>
            <sz val="9"/>
            <color indexed="81"/>
            <rFont val="Tahoma"/>
            <family val="2"/>
            <charset val="204"/>
          </rPr>
          <t>Хлеб пшеничный, куриное филе, капуста пекинская, лук, майонез, хрен											¶</t>
        </r>
      </text>
    </comment>
    <comment ref="A127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масло подсолнечное, лосось солёный, томаты, сыр творожный, салат Айсберг, соус.</t>
        </r>
      </text>
    </comment>
    <comment ref="A128" authorId="0" shapeId="0">
      <text>
        <r>
          <rPr>
            <sz val="9"/>
            <color indexed="81"/>
            <rFont val="Tahoma"/>
            <family val="2"/>
            <charset val="204"/>
          </rPr>
          <t>Хлеб тостовый, ветчина, соус, сыр, огурцы маринованные, салат</t>
        </r>
      </text>
    </comment>
    <comment ref="A129" authorId="0" shapeId="0">
      <text>
        <r>
          <rPr>
            <sz val="9"/>
            <color indexed="81"/>
            <rFont val="Tahoma"/>
            <family val="2"/>
            <charset val="204"/>
          </rPr>
          <t>Хлеб, куриное филе в/к, бекон в/к, томаты, соус "Цезарь", салат</t>
        </r>
      </text>
    </comment>
    <comment ref="A130" authorId="0" shapeId="0">
      <text>
        <r>
          <rPr>
            <sz val="9"/>
            <color indexed="81"/>
            <rFont val="Tahoma"/>
            <family val="2"/>
            <charset val="204"/>
          </rPr>
          <t>Хлеб тостовый, семга соленая, соус зеленый, помидоры, салат "Айсберг"</t>
        </r>
      </text>
    </comment>
    <comment ref="A131" authorId="0" shapeId="0">
      <text>
        <r>
          <rPr>
            <sz val="9"/>
            <color indexed="81"/>
            <rFont val="Tahoma"/>
            <family val="2"/>
            <charset val="204"/>
          </rPr>
          <t>Куриное филе, томаты, капуста, огурцы, морковь, соус</t>
        </r>
      </text>
    </comment>
    <comment ref="A132" authorId="0" shapeId="0">
      <text>
        <r>
          <rPr>
            <sz val="9"/>
            <color indexed="81"/>
            <rFont val="Tahoma"/>
            <family val="2"/>
            <charset val="204"/>
          </rPr>
          <t>Кунжут, говядина, курица, лук, помидоры, салат, майонез, специи</t>
        </r>
      </text>
    </comment>
    <comment ref="A133" authorId="0" shapeId="0">
      <text>
        <r>
          <rPr>
            <sz val="9"/>
            <color indexed="81"/>
            <rFont val="Tahoma"/>
            <family val="2"/>
            <charset val="204"/>
          </rPr>
          <t>Тортилья, сыр, ветчина, салат Айсберг, томаты.</t>
        </r>
      </text>
    </comment>
    <comment ref="A134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масло подсолнечное, кунжут, филе куриной грудки, лук, яйцо куриное, майонез, томаты, огурцы маринованные, салат Айсбер, лук красный.</t>
        </r>
      </text>
    </comment>
    <comment ref="A135" authorId="0" shapeId="0">
      <text>
        <r>
          <rPr>
            <sz val="9"/>
            <color indexed="81"/>
            <rFont val="Tahoma"/>
            <family val="2"/>
            <charset val="204"/>
          </rPr>
          <t>лепешка тортилья, филе индейки, помидоры, перец болгарский, фасоль стручковая, лук, сыр, специи</t>
        </r>
      </text>
    </comment>
    <comment ref="A137" authorId="0" shapeId="0">
      <text>
        <r>
          <rPr>
            <sz val="9"/>
            <color indexed="81"/>
            <rFont val="Tahoma"/>
            <family val="2"/>
            <charset val="204"/>
          </rPr>
          <t>ветчина из индейки, сыр Моцарелла, томаты, лук, морковь, перец, соль, масло растительное</t>
        </r>
      </text>
    </comment>
    <comment ref="A139" authorId="0" shapeId="0">
      <text>
        <r>
          <rPr>
            <sz val="9"/>
            <color indexed="81"/>
            <rFont val="Tahoma"/>
            <family val="2"/>
            <charset val="204"/>
          </rPr>
          <t>Тесто, курага, яблоки, сахар, кунжут, яйцо</t>
        </r>
      </text>
    </comment>
    <comment ref="A140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яйцо, капуста, лук, масло подсолнечное</t>
        </r>
      </text>
    </comment>
    <comment ref="A141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молоко, яйцо, говядина, свинина, лук, масло подсолнечное, соль, перец черный</t>
        </r>
      </text>
    </comment>
    <comment ref="A142" authorId="0" shapeId="0">
      <text>
        <r>
          <rPr>
            <sz val="9"/>
            <color indexed="81"/>
            <rFont val="Tahoma"/>
            <family val="2"/>
            <charset val="204"/>
          </rPr>
          <t>Тесто, яблоки, сахар, корица, яйцо</t>
        </r>
      </text>
    </comment>
    <comment ref="A143" authorId="0" shapeId="0">
      <text>
        <r>
          <rPr>
            <sz val="9"/>
            <color indexed="81"/>
            <rFont val="Tahoma"/>
            <family val="2"/>
            <charset val="204"/>
          </rPr>
          <t>Мука в/с, молоко, яйцо, сахар, дрожжи, соль, лук, специи</t>
        </r>
      </text>
    </comment>
    <comment ref="A144" authorId="0" shapeId="0">
      <text>
        <r>
          <rPr>
            <sz val="9"/>
            <color indexed="81"/>
            <rFont val="Tahoma"/>
            <family val="2"/>
            <charset val="204"/>
          </rPr>
          <t>Мука в/с, сахар, маргарин, яйцо, дрожжи, соль, мак, молоко</t>
        </r>
      </text>
    </comment>
    <comment ref="A145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молоко, маргарин, яйцо, вишня, сахар</t>
        </r>
      </text>
    </comment>
    <comment ref="A146" authorId="0" shapeId="0">
      <text>
        <r>
          <rPr>
            <sz val="9"/>
            <color indexed="81"/>
            <rFont val="Tahoma"/>
            <family val="2"/>
            <charset val="204"/>
          </rPr>
          <t>Мука пшеничня в/с, сахар, яйцо, масло сливочное, творог</t>
        </r>
      </text>
    </comment>
    <comment ref="A147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молоко, сахар, масло подсолнечное, яйцо, сосиска молочная ГОСТ</t>
        </r>
      </text>
    </comment>
    <comment ref="A148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масло сливочное, филе куриной грудки, картофель, лук, масло подсолнечное, соль.</t>
        </r>
      </text>
    </comment>
    <comment ref="A149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пшеничная, меланж, говядина, филе куриной грудки, лук репчатый, масло подсолнечное, соль, перец черный</t>
        </r>
      </text>
    </comment>
    <comment ref="A150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яйцо, сыр,</t>
        </r>
      </text>
    </comment>
    <comment ref="A151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молоко, яйцо, говядина, свинина, лук, масло подсолнечное, соль, перец черный</t>
        </r>
      </text>
    </comment>
    <comment ref="A152" authorId="0" shapeId="0">
      <text>
        <r>
          <rPr>
            <sz val="9"/>
            <color indexed="81"/>
            <rFont val="Tahoma"/>
            <family val="2"/>
            <charset val="204"/>
          </rPr>
          <t>Тесто, яблоки, сахар, корица, яйцо</t>
        </r>
      </text>
    </comment>
    <comment ref="A157" authorId="0" shapeId="0">
      <text>
        <r>
          <rPr>
            <sz val="9"/>
            <color indexed="81"/>
            <rFont val="Tahoma"/>
            <family val="2"/>
            <charset val="204"/>
          </rPr>
          <t>Мука в/с, вода, маргарин, яйцо, соль, лук репчатый,  курица,</t>
        </r>
      </text>
    </comment>
    <comment ref="A161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масло подсолнечное, шпинат, укроп, петрушка, брынза, сыр, лук, соль</t>
        </r>
      </text>
    </comment>
    <comment ref="A168" authorId="0" shapeId="0">
      <text>
        <r>
          <rPr>
            <sz val="9"/>
            <color indexed="81"/>
            <rFont val="Tahoma"/>
            <family val="2"/>
            <charset val="204"/>
          </rPr>
          <t>Яблоко, вишня,  вода, сахар, лимон</t>
        </r>
      </text>
    </comment>
    <comment ref="A169" authorId="0" shapeId="0">
      <text>
        <r>
          <rPr>
            <sz val="9"/>
            <color indexed="81"/>
            <rFont val="Tahoma"/>
            <family val="2"/>
            <charset val="204"/>
          </rPr>
          <t>Яблоко, вишня,  вода, сахар, лимон</t>
        </r>
      </text>
    </comment>
    <comment ref="A170" authorId="0" shapeId="0">
      <text>
        <r>
          <rPr>
            <sz val="9"/>
            <color indexed="81"/>
            <rFont val="Tahoma"/>
            <family val="2"/>
            <charset val="204"/>
          </rPr>
          <t>Курага, чернослив, изюм,  вода, сахар, лимон</t>
        </r>
      </text>
    </comment>
  </commentList>
</comments>
</file>

<file path=xl/comments2.xml><?xml version="1.0" encoding="utf-8"?>
<comments xmlns="http://schemas.openxmlformats.org/spreadsheetml/2006/main">
  <authors>
    <author>User987</author>
  </authors>
  <commentList>
    <comment ref="A10" authorId="0" shapeId="0">
      <text>
        <r>
          <rPr>
            <sz val="9"/>
            <color indexed="81"/>
            <rFont val="Tahoma"/>
            <family val="2"/>
            <charset val="204"/>
          </rPr>
          <t>Филе курицы, капуста пекинская, огурцы, соус</t>
        </r>
      </text>
    </comment>
    <comment ref="A11" authorId="0" shapeId="0">
      <text>
        <r>
          <rPr>
            <sz val="9"/>
            <color indexed="81"/>
            <rFont val="Tahoma"/>
            <family val="2"/>
            <charset val="204"/>
          </rPr>
          <t>Говядина, помидоры, огурцы, картофель, ветчина, майонез</t>
        </r>
      </text>
    </comment>
    <comment ref="A12" authorId="0" shapeId="0">
      <text>
        <r>
          <rPr>
            <sz val="9"/>
            <color indexed="81"/>
            <rFont val="Tahoma"/>
            <family val="2"/>
            <charset val="204"/>
          </rPr>
          <t>Картофель, свекла, огурцы, горошек, морковь, лук, масло подсолнечное, специи</t>
        </r>
      </text>
    </comment>
    <comment ref="A13" authorId="0" shapeId="0">
      <text>
        <r>
          <rPr>
            <sz val="9"/>
            <color indexed="81"/>
            <rFont val="Tahoma"/>
            <family val="2"/>
            <charset val="204"/>
          </rPr>
          <t>Свекла, капуста квашеная, горошек, огурцы маринованные, морковь, масло подсолнечное, укроп, лук, соль</t>
        </r>
      </text>
    </comment>
    <comment ref="A14" authorId="0" shapeId="0">
      <text>
        <r>
          <rPr>
            <sz val="9"/>
            <color indexed="81"/>
            <rFont val="Tahoma"/>
            <family val="2"/>
            <charset val="204"/>
          </rPr>
          <t>Морковь, масло подсолнечное, сахар, уксус, соль, чеснок, перец, кунжут, кориандр</t>
        </r>
      </text>
    </comment>
    <comment ref="A15" authorId="0" shapeId="0">
      <text>
        <r>
          <rPr>
            <sz val="9"/>
            <color indexed="81"/>
            <rFont val="Tahoma"/>
            <family val="2"/>
            <charset val="204"/>
          </rPr>
          <t>Куриная грудка, ветчина из индейки, молоко, огурцы, яйцо, майонез</t>
        </r>
      </text>
    </comment>
    <comment ref="A16" authorId="0" shapeId="0">
      <text>
        <r>
          <rPr>
            <sz val="9"/>
            <color indexed="81"/>
            <rFont val="Tahoma"/>
            <family val="2"/>
            <charset val="204"/>
          </rPr>
          <t>Картофель, горбуша, сайра, морковь, сыр, яйцо, майонез</t>
        </r>
      </text>
    </comment>
    <comment ref="A17" authorId="0" shapeId="0">
      <text>
        <r>
          <rPr>
            <sz val="9"/>
            <color indexed="81"/>
            <rFont val="Tahoma"/>
            <family val="2"/>
            <charset val="204"/>
          </rPr>
          <t>Рис, крабовые палочки, кукуруза, морковь, огурцы, яйцо, майонез, специи</t>
        </r>
      </text>
    </comment>
    <comment ref="A18" authorId="0" shapeId="0">
      <text>
        <r>
          <rPr>
            <sz val="9"/>
            <color indexed="81"/>
            <rFont val="Tahoma"/>
            <family val="2"/>
            <charset val="204"/>
          </rPr>
          <t>Картофель, морковь, колбаса, яйцо, горошек, майонез, специи</t>
        </r>
      </text>
    </comment>
    <comment ref="A19" authorId="0" shapeId="0">
      <text>
        <r>
          <rPr>
            <sz val="9"/>
            <color indexed="81"/>
            <rFont val="Tahoma"/>
            <family val="2"/>
            <charset val="204"/>
          </rPr>
          <t>Сельдь филе, картофель, морковь, свекла, майонез, специи</t>
        </r>
      </text>
    </comment>
    <comment ref="A20" authorId="0" shapeId="0">
      <text>
        <r>
          <rPr>
            <sz val="9"/>
            <color indexed="81"/>
            <rFont val="Tahoma"/>
            <family val="2"/>
            <charset val="204"/>
          </rPr>
          <t>Картофель, морковь, куриное филе, яйцо, горошек, майонез, специи</t>
        </r>
      </text>
    </comment>
    <comment ref="A21" authorId="0" shapeId="0">
      <text>
        <r>
          <rPr>
            <sz val="9"/>
            <color indexed="81"/>
            <rFont val="Tahoma"/>
            <family val="2"/>
            <charset val="204"/>
          </rPr>
          <t>Салат, помидоры, куриная грудка, сыр, гренки чесночные, майонез</t>
        </r>
      </text>
    </comment>
    <comment ref="A22" authorId="0" shapeId="0">
      <text>
        <r>
          <rPr>
            <sz val="9"/>
            <color indexed="81"/>
            <rFont val="Tahoma"/>
            <family val="2"/>
            <charset val="204"/>
          </rPr>
          <t>Свекла, чеснок, майонез, специи, зелень</t>
        </r>
      </text>
    </comment>
    <comment ref="A23" authorId="0" shapeId="0">
      <text>
        <r>
          <rPr>
            <sz val="9"/>
            <color indexed="81"/>
            <rFont val="Tahoma"/>
            <family val="2"/>
            <charset val="204"/>
          </rPr>
          <t>Салат, соус, помидоры, огурцы, сыр, перец болгарский, маслины, кунжут</t>
        </r>
      </text>
    </comment>
    <comment ref="A24" authorId="0" shapeId="0">
      <text>
        <r>
          <rPr>
            <sz val="9"/>
            <color indexed="81"/>
            <rFont val="Tahoma"/>
            <family val="2"/>
            <charset val="204"/>
          </rPr>
          <t>Салат, помидоры, куриная грудка, сыр, гренки чесночные, соус</t>
        </r>
      </text>
    </comment>
    <comment ref="A25" authorId="0" shapeId="0">
      <text>
        <r>
          <rPr>
            <sz val="9"/>
            <color indexed="81"/>
            <rFont val="Tahoma"/>
            <family val="2"/>
            <charset val="204"/>
          </rPr>
          <t>Картофель, горбуша, сайра, морковь, сыр, яйцо, майонез</t>
        </r>
      </text>
    </comment>
    <comment ref="A26" authorId="0" shapeId="0">
      <text>
        <r>
          <rPr>
            <sz val="9"/>
            <color indexed="81"/>
            <rFont val="Tahoma"/>
            <family val="2"/>
            <charset val="204"/>
          </rPr>
          <t>Картофель, морковь, куриное филе, яйцо, горошек, майонез, специи</t>
        </r>
      </text>
    </comment>
    <comment ref="A27" authorId="0" shapeId="0">
      <text>
        <r>
          <rPr>
            <sz val="9"/>
            <color indexed="81"/>
            <rFont val="Tahoma"/>
            <family val="2"/>
            <charset val="204"/>
          </rPr>
          <t>Лапша рисовая, огурцы, перец болгарский, морковь, петрушка, лук, чеснок, кунжут, соус</t>
        </r>
      </text>
    </comment>
    <comment ref="A28" authorId="0" shapeId="0">
      <text>
        <r>
          <rPr>
            <sz val="9"/>
            <color indexed="81"/>
            <rFont val="Tahoma"/>
            <family val="2"/>
            <charset val="204"/>
          </rPr>
          <t>Сельдь филе, картофель, морковь, свекла, яйцо, майонез, специи</t>
        </r>
      </text>
    </comment>
    <comment ref="A29" authorId="0" shapeId="0">
      <text>
        <r>
          <rPr>
            <sz val="9"/>
            <color indexed="81"/>
            <rFont val="Tahoma"/>
            <family val="2"/>
            <charset val="204"/>
          </rPr>
          <t>грдка куриная, майонез, чернослив, блины яичные, молоко, ананас, огурец, арахис</t>
        </r>
      </text>
    </comment>
    <comment ref="A30" authorId="0" shapeId="0">
      <text>
        <r>
          <rPr>
            <sz val="9"/>
            <color indexed="81"/>
            <rFont val="Tahoma"/>
            <family val="2"/>
            <charset val="204"/>
          </rPr>
          <t>Капуста пекинская, помидоры, огурцы, морковь, укроп, масло подсолнечное</t>
        </r>
      </text>
    </comment>
    <comment ref="A35" authorId="0" shapeId="0">
      <text>
        <r>
          <rPr>
            <sz val="9"/>
            <color indexed="81"/>
            <rFont val="Tahoma"/>
            <family val="2"/>
            <charset val="204"/>
          </rPr>
          <t>Овсяные хлопья, молоко, сахар, масло сливочное, соль</t>
        </r>
      </text>
    </comment>
    <comment ref="A36" authorId="0" shapeId="0">
      <text>
        <r>
          <rPr>
            <sz val="9"/>
            <color indexed="81"/>
            <rFont val="Tahoma"/>
            <family val="2"/>
            <charset val="204"/>
          </rPr>
          <t>Пшено, молоко, сахар, масло сливочное, соль</t>
        </r>
      </text>
    </comment>
    <comment ref="A37" authorId="0" shapeId="0">
      <text>
        <r>
          <rPr>
            <sz val="9"/>
            <color indexed="81"/>
            <rFont val="Tahoma"/>
            <family val="2"/>
            <charset val="204"/>
          </rPr>
          <t>Рис, молоко, сахар, масло сливочное, соль</t>
        </r>
      </text>
    </comment>
    <comment ref="A38" authorId="0" shapeId="0">
      <text>
        <r>
          <rPr>
            <sz val="9"/>
            <color indexed="81"/>
            <rFont val="Tahoma"/>
            <family val="2"/>
            <charset val="204"/>
          </rPr>
          <t>молоко, крупа манная, сливки, изюм, вишня, яблоко, сахар, корица</t>
        </r>
      </text>
    </comment>
    <comment ref="A39" authorId="0" shapeId="0">
      <text>
        <r>
          <rPr>
            <sz val="9"/>
            <color indexed="81"/>
            <rFont val="Tahoma"/>
            <family val="2"/>
            <charset val="204"/>
          </rPr>
          <t>Творог, сахар, яйцо, крупа манная, ванилин, масло подсолнечное</t>
        </r>
      </text>
    </comment>
    <comment ref="A40" authorId="0" shapeId="0">
      <text>
        <r>
          <rPr>
            <sz val="9"/>
            <color indexed="81"/>
            <rFont val="Tahoma"/>
            <family val="2"/>
            <charset val="204"/>
          </rPr>
          <t>Молоко 3,2%, мука пшеничная, сыр, яйцо, масло подсолнечное, сахар, соль, майонез 67%, чеснок</t>
        </r>
      </text>
    </comment>
    <comment ref="A41" authorId="0" shapeId="0">
      <text>
        <r>
          <rPr>
            <sz val="9"/>
            <color indexed="81"/>
            <rFont val="Tahoma"/>
            <family val="2"/>
            <charset val="204"/>
          </rPr>
          <t>Молоко, сыр, яйцо, куриное филе, томаты, майонез, масло, лук, укроп, перец чёрный</t>
        </r>
      </text>
    </comment>
    <comment ref="A42" authorId="0" shapeId="0">
      <text>
        <r>
          <rPr>
            <sz val="9"/>
            <color indexed="81"/>
            <rFont val="Tahoma"/>
            <family val="2"/>
            <charset val="204"/>
          </rPr>
          <t>Яйцо куриное, филе куриной грудки, томаты, майонез 67%, масло подсолнечное, лук репчатый, укроп, соль, перец чёрный</t>
        </r>
      </text>
    </comment>
    <comment ref="A44" authorId="0" shapeId="0">
      <text>
        <r>
          <rPr>
            <sz val="9"/>
            <color indexed="81"/>
            <rFont val="Tahoma"/>
            <family val="2"/>
            <charset val="204"/>
          </rPr>
          <t>Яйцо, молоко, соль, помидоры, укроп</t>
        </r>
      </text>
    </comment>
    <comment ref="A45" authorId="0" shapeId="0">
      <text>
        <r>
          <rPr>
            <sz val="9"/>
            <color indexed="81"/>
            <rFont val="Tahoma"/>
            <family val="2"/>
            <charset val="204"/>
          </rPr>
          <t>Яйцо, молоко, соль, сосиски</t>
        </r>
      </text>
    </comment>
    <comment ref="A47" authorId="0" shapeId="0">
      <text>
        <r>
          <rPr>
            <sz val="9"/>
            <color indexed="81"/>
            <rFont val="Tahoma"/>
            <family val="2"/>
            <charset val="204"/>
          </rPr>
          <t>Перец болгарский, лук репчатый, масло растительное, картофель, крупа рисовая, говяжий бульон, помидоры, соль, специи, говядина, яйцо</t>
        </r>
      </text>
    </comment>
    <comment ref="A48" authorId="0" shapeId="0">
      <text>
        <r>
          <rPr>
            <sz val="9"/>
            <color indexed="81"/>
            <rFont val="Tahoma"/>
            <family val="2"/>
            <charset val="204"/>
          </rPr>
          <t>говядина, картофель, сельдерей, морковь, перец болгарский, горошек зеленый, томатная паста,лук репчатый, чеснок, специи</t>
        </r>
      </text>
    </comment>
    <comment ref="A50" authorId="0" shapeId="0">
      <text>
        <r>
          <rPr>
            <sz val="9"/>
            <color indexed="81"/>
            <rFont val="Tahoma"/>
            <family val="2"/>
            <charset val="204"/>
          </rPr>
          <t>Свинина, куриное филе, лук, картофель, капуста, масло подсолнечное, яйцо, петрушка, соль, чеснок, перец, макароны</t>
        </r>
      </text>
    </comment>
    <comment ref="A51" authorId="0" shapeId="0">
      <text>
        <r>
          <rPr>
            <sz val="9"/>
            <color indexed="81"/>
            <rFont val="Tahoma"/>
            <family val="2"/>
            <charset val="204"/>
          </rPr>
          <t>Филе куриной грудки, майонез , масло подсолнечное, соль, паприка</t>
        </r>
      </text>
    </comment>
    <comment ref="A52" authorId="0" shapeId="0">
      <text>
        <r>
          <rPr>
            <sz val="9"/>
            <color indexed="81"/>
            <rFont val="Tahoma"/>
            <family val="2"/>
            <charset val="204"/>
          </rPr>
          <t>Окорочка куриные, масло подсолнечное, соль, чеснок, паприка, кориандр.</t>
        </r>
      </text>
    </comment>
    <comment ref="A53" authorId="0" shapeId="0">
      <text>
        <r>
          <rPr>
            <sz val="9"/>
            <color indexed="81"/>
            <rFont val="Tahoma"/>
            <family val="2"/>
            <charset val="204"/>
          </rPr>
          <t>Крыло куриное, мука пшеничная в/с, масло подсолнечное, соль, сахар, специи.</t>
        </r>
      </text>
    </comment>
    <comment ref="A54" authorId="0" shapeId="0">
      <text>
        <r>
          <rPr>
            <sz val="9"/>
            <color indexed="81"/>
            <rFont val="Tahoma"/>
            <family val="2"/>
            <charset val="204"/>
          </rPr>
          <t>Филе куриное, гречка, сухари панировочные, лук репчатый, масло сливочное, масло подсолнечное, соль</t>
        </r>
      </text>
    </comment>
    <comment ref="A55" authorId="0" shapeId="0">
      <text>
        <r>
          <rPr>
            <sz val="9"/>
            <color indexed="81"/>
            <rFont val="Tahoma"/>
            <family val="2"/>
            <charset val="204"/>
          </rPr>
          <t>Филе горбуши, яйцо, сухари панировочные, рис, кукуруза консервированная, горошек, морковь, перец болгарский, масло подсолнечное, специи</t>
        </r>
      </text>
    </comment>
    <comment ref="A56" authorId="0" shapeId="0">
      <text>
        <r>
          <rPr>
            <sz val="9"/>
            <color indexed="81"/>
            <rFont val="Tahoma"/>
            <family val="2"/>
            <charset val="204"/>
          </rPr>
          <t>Филе куриной грудки, картофель, молоко, сыр, грибы, майонез, специи</t>
        </r>
      </text>
    </comment>
    <comment ref="A57" authorId="0" shapeId="0">
      <text>
        <r>
          <rPr>
            <sz val="9"/>
            <color indexed="81"/>
            <rFont val="Tahoma"/>
            <family val="2"/>
            <charset val="204"/>
          </rPr>
          <t>Филе куриное, картофель, молоко, лук, специи</t>
        </r>
      </text>
    </comment>
    <comment ref="A58" authorId="0" shapeId="0">
      <text>
        <r>
          <rPr>
            <sz val="9"/>
            <color indexed="81"/>
            <rFont val="Tahoma"/>
            <family val="2"/>
            <charset val="204"/>
          </rPr>
          <t>Филе куриной грудки, картофель, молоко, сухари панировочные, яйцо, масло сливочное, чеснок, соль, укроп</t>
        </r>
      </text>
    </comment>
    <comment ref="A59" authorId="0" shapeId="0">
      <text>
        <r>
          <rPr>
            <sz val="9"/>
            <color indexed="81"/>
            <rFont val="Tahoma"/>
            <family val="2"/>
            <charset val="204"/>
          </rPr>
          <t>Филе индейки, филе куриной грудки, картофель, лук, сухари панировочные, яйцо, масло подсолнечное, соль, чеснок, перец черный</t>
        </r>
      </text>
    </comment>
    <comment ref="A60" authorId="0" shapeId="0">
      <text>
        <r>
          <rPr>
            <sz val="9"/>
            <color indexed="81"/>
            <rFont val="Tahoma"/>
            <family val="2"/>
            <charset val="204"/>
          </rPr>
          <t>куриная грудка,масло подсолнечное, лук, чеснок, специи	, спагетти</t>
        </r>
      </text>
    </comment>
    <comment ref="A61" authorId="0" shapeId="0">
      <text>
        <r>
          <rPr>
            <sz val="9"/>
            <color indexed="81"/>
            <rFont val="Tahoma"/>
            <family val="2"/>
            <charset val="204"/>
          </rPr>
          <t>Филе куриной грудки, сыр, картофель, молоко, яйцо, масло подсолнечное, соль</t>
        </r>
      </text>
    </comment>
    <comment ref="A62" authorId="0" shapeId="0">
      <text>
        <r>
          <rPr>
            <sz val="9"/>
            <color indexed="81"/>
            <rFont val="Tahoma"/>
            <family val="2"/>
            <charset val="204"/>
          </rPr>
          <t>Филе куриной грудки, гречка, шампиньоны, лук , масло подсолнечное, чеснок, соль, перец чёрный</t>
        </r>
      </text>
    </comment>
    <comment ref="A63" authorId="0" shapeId="0">
      <text>
        <r>
          <rPr>
            <sz val="9"/>
            <color indexed="81"/>
            <rFont val="Tahoma"/>
            <family val="2"/>
            <charset val="204"/>
          </rPr>
          <t>Лапша лагманная, куриная грудка, лук, помидоры, морковь, фасоль, перец болгарский, соль, петрушка, кориандр</t>
        </r>
      </text>
    </comment>
    <comment ref="A64" authorId="0" shapeId="0">
      <text>
        <r>
          <rPr>
            <sz val="9"/>
            <color indexed="81"/>
            <rFont val="Tahoma"/>
            <family val="2"/>
            <charset val="204"/>
          </rPr>
          <t>Свинина, шампиньоны, лук, сыр, картофель, молоко, майонез, специи</t>
        </r>
      </text>
    </comment>
    <comment ref="A65" authorId="0" shapeId="0">
      <text>
        <r>
          <rPr>
            <sz val="9"/>
            <color indexed="81"/>
            <rFont val="Tahoma"/>
            <family val="2"/>
            <charset val="204"/>
          </rPr>
          <t>Спагетти, лук репчатый, помидоры, говядина, свинина, перец болгарский, масло подсолнечное, томатная паста, чеснок, соль</t>
        </r>
      </text>
    </comment>
    <comment ref="A66" authorId="0" shapeId="0">
      <text>
        <r>
          <rPr>
            <sz val="9"/>
            <color indexed="81"/>
            <rFont val="Tahoma"/>
            <family val="2"/>
            <charset val="204"/>
          </rPr>
          <t>Спагетти, грудинка свиная, окорок свиной, лук, сыр, сливки, молоко, масло подсолнечное, соль</t>
        </r>
      </text>
    </comment>
    <comment ref="A67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яйцо куриное, масло подсолнечное, соль, куриная грудка, лук репчатый, говядина, перец чёрный</t>
        </r>
      </text>
    </comment>
    <comment ref="A68" authorId="0" shapeId="0">
      <text>
        <r>
          <rPr>
            <sz val="9"/>
            <color indexed="81"/>
            <rFont val="Tahoma"/>
            <family val="2"/>
            <charset val="204"/>
          </rPr>
          <t>Рис, филе куриной грудки, морковь, лук, масло подсолнечное, соль</t>
        </r>
      </text>
    </comment>
    <comment ref="A69" authorId="0" shapeId="0">
      <text>
        <r>
          <rPr>
            <sz val="9"/>
            <color indexed="81"/>
            <rFont val="Tahoma"/>
            <family val="2"/>
            <charset val="204"/>
          </rPr>
          <t>Рис, говядина, морковь, лук, масло подсолнечное, соль</t>
        </r>
      </text>
    </comment>
    <comment ref="A70" authorId="0" shapeId="0">
      <text>
        <r>
          <rPr>
            <sz val="9"/>
            <color indexed="81"/>
            <rFont val="Tahoma"/>
            <family val="2"/>
            <charset val="204"/>
          </rPr>
          <t>Сосиски, макароны, кетчуп</t>
        </r>
      </text>
    </comment>
    <comment ref="A71" authorId="0" shapeId="0">
      <text>
        <r>
          <rPr>
            <sz val="9"/>
            <color indexed="81"/>
            <rFont val="Tahoma"/>
            <family val="2"/>
            <charset val="204"/>
          </rPr>
          <t>Говядина, свинина, курица, лук, рис, морковь, яйцо, перец, картофель, молоко</t>
        </r>
      </text>
    </comment>
    <comment ref="A72" authorId="0" shapeId="0">
      <text>
        <r>
          <rPr>
            <sz val="9"/>
            <color indexed="81"/>
            <rFont val="Tahoma"/>
            <family val="2"/>
            <charset val="204"/>
          </rPr>
          <t>Филе минтая, яйцо, мука пшеничная в/с, сыр, масло подсолнечное, соль, картофель, молоко</t>
        </r>
      </text>
    </comment>
    <comment ref="A73" authorId="0" shapeId="0">
      <text>
        <r>
          <rPr>
            <sz val="9"/>
            <color indexed="81"/>
            <rFont val="Tahoma"/>
            <family val="2"/>
            <charset val="204"/>
          </rPr>
          <t>Филе куриной грудки, майонез , картофель, молоко, масло подсолнечное, паприка, чеснок, соль.</t>
        </r>
      </text>
    </comment>
    <comment ref="A74" authorId="0" shapeId="0">
      <text>
        <r>
          <rPr>
            <sz val="9"/>
            <color indexed="81"/>
            <rFont val="Tahoma"/>
            <family val="2"/>
            <charset val="204"/>
          </rPr>
          <t>Рис, филе куриной грудки, яйцо, морковь, брокколи, лук, перец болгарский, соус, чеснок, петрушка, кунжут</t>
        </r>
      </text>
    </comment>
    <comment ref="A75" authorId="0" shapeId="0">
      <text>
        <r>
          <rPr>
            <sz val="9"/>
            <color indexed="81"/>
            <rFont val="Tahoma"/>
            <family val="2"/>
            <charset val="204"/>
          </rPr>
          <t>колбаски баварские9 говядина, свинина), макароны, кетчуп, специи</t>
        </r>
      </text>
    </comment>
    <comment ref="A76" authorId="0" shapeId="0">
      <text>
        <r>
          <rPr>
            <sz val="9"/>
            <color indexed="81"/>
            <rFont val="Tahoma"/>
            <family val="2"/>
            <charset val="204"/>
          </rPr>
          <t>колбаски куриные, картофельное пюре, молко, сливки, масло сливочное, специи</t>
        </r>
      </text>
    </comment>
    <comment ref="A77" authorId="0" shapeId="0">
      <text>
        <r>
          <rPr>
            <sz val="9"/>
            <color indexed="81"/>
            <rFont val="Tahoma"/>
            <family val="2"/>
            <charset val="204"/>
          </rPr>
          <t>пенне, окорок свиной, свинина грудинка, лук, сливки, молоко, сыр</t>
        </r>
      </text>
    </comment>
    <comment ref="A78" authorId="0" shapeId="0">
      <text>
        <r>
          <rPr>
            <sz val="9"/>
            <color indexed="81"/>
            <rFont val="Tahoma"/>
            <family val="2"/>
            <charset val="204"/>
          </rPr>
          <t>куриная грудка, рис, капуста краснокачанная, огурцы, томаты черри, специи</t>
        </r>
      </text>
    </comment>
    <comment ref="A79" authorId="0" shapeId="0">
      <text>
        <r>
          <rPr>
            <sz val="9"/>
            <color indexed="81"/>
            <rFont val="Tahoma"/>
            <family val="2"/>
            <charset val="204"/>
          </rPr>
          <t>рис, семга слабосоленая, сыр творожный, томаты черри, редис,огурцы, бобы эдамаме, специи</t>
        </r>
      </text>
    </comment>
    <comment ref="A80" authorId="0" shapeId="0">
      <text>
        <r>
          <rPr>
            <sz val="9"/>
            <color indexed="81"/>
            <rFont val="Tahoma"/>
            <family val="2"/>
            <charset val="204"/>
          </rPr>
          <t>рис, куриное филе, лук, морковь, огурцы, блин-омлет, специи</t>
        </r>
      </text>
    </comment>
    <comment ref="A81" authorId="0" shapeId="0">
      <text>
        <r>
          <rPr>
            <sz val="9"/>
            <color indexed="81"/>
            <rFont val="Tahoma"/>
            <family val="2"/>
            <charset val="204"/>
          </rPr>
          <t>говядина, свинина, лук, картофель, молоко, сливки</t>
        </r>
      </text>
    </comment>
    <comment ref="A82" authorId="0" shapeId="0">
      <text>
        <r>
          <rPr>
            <sz val="9"/>
            <color indexed="81"/>
            <rFont val="Tahoma"/>
            <family val="2"/>
            <charset val="204"/>
          </rPr>
          <t>говядина, свинина, лук, макароны, специи</t>
        </r>
      </text>
    </comment>
    <comment ref="A83" authorId="0" shapeId="0">
      <text>
        <r>
          <rPr>
            <sz val="9"/>
            <color indexed="81"/>
            <rFont val="Tahoma"/>
            <family val="2"/>
            <charset val="204"/>
          </rPr>
          <t>филе горбуши, спагетти, лук, помидоры, морковь, соус Песто</t>
        </r>
      </text>
    </comment>
    <comment ref="A84" authorId="0" shapeId="0">
      <text>
        <r>
          <rPr>
            <sz val="9"/>
            <color indexed="81"/>
            <rFont val="Tahoma"/>
            <family val="2"/>
            <charset val="204"/>
          </rPr>
          <t>Картофель, говядина, морковь, перец болгарский, помидоры, лук, соль, перец черный</t>
        </r>
      </text>
    </comment>
    <comment ref="A85" authorId="0" shapeId="0">
      <text>
        <r>
          <rPr>
            <sz val="9"/>
            <color indexed="81"/>
            <rFont val="Tahoma"/>
            <family val="2"/>
            <charset val="204"/>
          </rPr>
          <t>курица, морковь, томаты, перец болгарский, картофель, капуста, лук, чеснок, укроп, петрушка, соль, масло подсолнечное</t>
        </r>
      </text>
    </comment>
    <comment ref="A86" authorId="0" shapeId="0">
      <text>
        <r>
          <rPr>
            <sz val="9"/>
            <color indexed="81"/>
            <rFont val="Tahoma"/>
            <family val="2"/>
            <charset val="204"/>
          </rPr>
          <t>Говядина, филе куриной грудки, рис, морковь, лук репчатый, картофель, масло подсолнечное, яйцо куриное, соль</t>
        </r>
      </text>
    </comment>
    <comment ref="A88" authorId="0" shapeId="0">
      <text>
        <r>
          <rPr>
            <sz val="9"/>
            <color indexed="81"/>
            <rFont val="Tahoma"/>
            <family val="2"/>
            <charset val="204"/>
          </rPr>
          <t>Говядина, курица, лук, соль, перец черный, яйцо, масло подсолнечное, сметана</t>
        </r>
      </text>
    </comment>
    <comment ref="A89" authorId="0" shapeId="0">
      <text>
        <r>
          <rPr>
            <sz val="9"/>
            <color indexed="81"/>
            <rFont val="Tahoma"/>
            <family val="2"/>
            <charset val="204"/>
          </rPr>
          <t>Говядина, курица, тыква, лук, соль, перец черный, яйцо, масло подсолнечное, сметана</t>
        </r>
      </text>
    </comment>
    <comment ref="A90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масло подсолнечное, картофель, шампиньоны, лук, соль</t>
        </r>
      </text>
    </comment>
    <comment ref="A91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пшеничная, творог, молоко, сливки, сахар, масло сливочное, соль, масло подсолнечное.</t>
        </r>
      </text>
    </comment>
    <comment ref="A93" authorId="0" shapeId="0">
      <text>
        <r>
          <rPr>
            <sz val="9"/>
            <color indexed="81"/>
            <rFont val="Tahoma"/>
            <family val="2"/>
            <charset val="204"/>
          </rPr>
          <t>говядина, куринная грудка, яйцо, лук фри, огурцы мариновыные, чеснок, перец, соль, гречка</t>
        </r>
      </text>
    </comment>
    <comment ref="A94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свинина, капуста, лук, масло подсолнечное, чеснок, соль, перец черный</t>
        </r>
      </text>
    </comment>
    <comment ref="A96" authorId="0" shapeId="0">
      <text>
        <r>
          <rPr>
            <sz val="9"/>
            <color indexed="81"/>
            <rFont val="Tahoma"/>
            <family val="2"/>
            <charset val="204"/>
          </rPr>
          <t>Рис, зеленый горошек, кукуруза</t>
        </r>
      </text>
    </comment>
    <comment ref="A97" authorId="0" shapeId="0">
      <text>
        <r>
          <rPr>
            <sz val="9"/>
            <color indexed="81"/>
            <rFont val="Tahoma"/>
            <family val="2"/>
            <charset val="204"/>
          </rPr>
          <t>Лапша лагманная, масло подсолнечное, специи</t>
        </r>
      </text>
    </comment>
    <comment ref="A98" authorId="0" shapeId="0">
      <text>
        <r>
          <rPr>
            <sz val="9"/>
            <color indexed="81"/>
            <rFont val="Tahoma"/>
            <family val="2"/>
            <charset val="204"/>
          </rPr>
          <t>Картофель, молоко, масло сливочное, специи</t>
        </r>
      </text>
    </comment>
    <comment ref="A99" authorId="0" shapeId="0">
      <text>
        <r>
          <rPr>
            <sz val="9"/>
            <color indexed="81"/>
            <rFont val="Tahoma"/>
            <family val="2"/>
            <charset val="204"/>
          </rPr>
          <t>Рис, лук, морковь, масло подсолнечное, соль</t>
        </r>
      </text>
    </comment>
    <comment ref="A101" authorId="0" shapeId="0">
      <text>
        <r>
          <rPr>
            <sz val="9"/>
            <color indexed="81"/>
            <rFont val="Tahoma"/>
            <family val="2"/>
            <charset val="204"/>
          </rPr>
          <t>Мука в/с, молоко, масло подсолнечное, яйцо, сахар, соль</t>
        </r>
      </text>
    </comment>
    <comment ref="A106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яйцо, молоко, сахар, масло подсолнечное, соль, куриная грудка, лук репчатый, шампиньоны свежие, соус "Бешамель", перец чёрный, сыр "Чечел"</t>
        </r>
      </text>
    </comment>
    <comment ref="A107" authorId="0" shapeId="0">
      <text>
        <r>
          <rPr>
            <sz val="9"/>
            <color indexed="81"/>
            <rFont val="Tahoma"/>
            <family val="2"/>
            <charset val="204"/>
          </rPr>
          <t>Мука в/с, молоко, масло подсолнечное, яйца, сахар, соль, ветчина, сыр, яйцо, сухари панировочные</t>
        </r>
      </text>
    </comment>
    <comment ref="A108" authorId="0" shapeId="0">
      <text>
        <r>
          <rPr>
            <sz val="9"/>
            <color indexed="81"/>
            <rFont val="Tahoma"/>
            <family val="2"/>
            <charset val="204"/>
          </rPr>
          <t>Мука в/с, молоко, яйцо, сливочное масло, сахар, дрожжи, соль, свинина, говядина, лук</t>
        </r>
      </text>
    </comment>
    <comment ref="A109" authorId="0" shapeId="0">
      <text>
        <r>
          <rPr>
            <sz val="9"/>
            <color indexed="81"/>
            <rFont val="Tahoma"/>
            <family val="2"/>
            <charset val="204"/>
          </rPr>
          <t>Мука в/с, молоко, яйцо, масло сливочное, сахар, дрожжи, соль, творог 9%, сахар</t>
        </r>
      </text>
    </comment>
    <comment ref="A110" authorId="0" shapeId="0">
      <text>
        <r>
          <rPr>
            <sz val="9"/>
            <color indexed="81"/>
            <rFont val="Tahoma"/>
            <family val="2"/>
            <charset val="204"/>
          </rPr>
          <t>мука, сливки, молоко, масло сливочное, курица, лук, соль</t>
        </r>
      </text>
    </comment>
    <comment ref="A111" authorId="0" shapeId="0">
      <text>
        <r>
          <rPr>
            <sz val="9"/>
            <color indexed="81"/>
            <rFont val="Tahoma"/>
            <family val="2"/>
            <charset val="204"/>
          </rPr>
          <t>Мука в/с, молоко, яйцо, масло сливочное, дрожжи, соль, яблоки, сахар</t>
        </r>
      </text>
    </comment>
    <comment ref="A113" authorId="0" shapeId="0">
      <text>
        <r>
          <rPr>
            <sz val="9"/>
            <color indexed="81"/>
            <rFont val="Tahoma"/>
            <family val="2"/>
            <charset val="204"/>
          </rPr>
          <t>Лаваш, ветчина, сыр, огурцы, салат</t>
        </r>
      </text>
    </comment>
    <comment ref="A114" authorId="0" shapeId="0">
      <text>
        <r>
          <rPr>
            <sz val="9"/>
            <color indexed="81"/>
            <rFont val="Tahoma"/>
            <family val="2"/>
            <charset val="204"/>
          </rPr>
          <t>Лаваш, куриная грудка, сыр, помидоры, соус, салат</t>
        </r>
      </text>
    </comment>
    <comment ref="A115" authorId="0" shapeId="0">
      <text>
        <r>
          <rPr>
            <sz val="9"/>
            <color indexed="81"/>
            <rFont val="Tahoma"/>
            <family val="2"/>
            <charset val="204"/>
          </rPr>
          <t>Лаваш, лосось пряного посола, блин яичный, помидоры, капуста пекинская, масло сливочное</t>
        </r>
      </text>
    </comment>
    <comment ref="A116" authorId="0" shapeId="0">
      <text>
        <r>
          <rPr>
            <sz val="9"/>
            <color indexed="81"/>
            <rFont val="Tahoma"/>
            <family val="2"/>
            <charset val="204"/>
          </rPr>
          <t>Лаваш, наггетсы куриные, хашбраун картофельный, огурцы, соус</t>
        </r>
      </text>
    </comment>
    <comment ref="A117" authorId="0" shapeId="0">
      <text>
        <r>
          <rPr>
            <sz val="9"/>
            <color indexed="81"/>
            <rFont val="Tahoma"/>
            <family val="2"/>
            <charset val="204"/>
          </rPr>
          <t>Лаваш, филе куриное, капуста б/к, томаты, огурцы маринованные, соль, чеснок, перец, яйцо, соус</t>
        </r>
      </text>
    </comment>
    <comment ref="A119" authorId="0" shapeId="0">
      <text>
        <r>
          <rPr>
            <sz val="9"/>
            <color indexed="81"/>
            <rFont val="Tahoma"/>
            <family val="2"/>
            <charset val="204"/>
          </rPr>
          <t>Багет пшеничный, буженина, соус пикантный, томаты, капуста пекинская</t>
        </r>
      </text>
    </comment>
    <comment ref="A120" authorId="0" shapeId="0">
      <text>
        <r>
          <rPr>
            <sz val="9"/>
            <color indexed="81"/>
            <rFont val="Tahoma"/>
            <family val="2"/>
            <charset val="204"/>
          </rPr>
          <t>Багет пшеничный, ветчина, капуста, соус, специи</t>
        </r>
      </text>
    </comment>
    <comment ref="A121" authorId="0" shapeId="0">
      <text>
        <r>
          <rPr>
            <sz val="9"/>
            <color indexed="81"/>
            <rFont val="Tahoma"/>
            <family val="2"/>
            <charset val="204"/>
          </rPr>
          <t>Багет пшеничный, куриное филе, капуста, соус</t>
        </r>
      </text>
    </comment>
    <comment ref="A122" authorId="0" shapeId="0">
      <text>
        <r>
          <rPr>
            <sz val="9"/>
            <color indexed="81"/>
            <rFont val="Tahoma"/>
            <family val="2"/>
            <charset val="204"/>
          </rPr>
          <t>Багет пшеничный, рулет куриный, огурец маринованный, капуста пекинская, соус</t>
        </r>
      </text>
    </comment>
    <comment ref="A123" authorId="0" shapeId="0">
      <text>
        <r>
          <rPr>
            <sz val="9"/>
            <color indexed="81"/>
            <rFont val="Tahoma"/>
            <family val="2"/>
            <charset val="204"/>
          </rPr>
          <t>Багет пшеничный, рулет из индейки, сыр, пекинская капуста, соус</t>
        </r>
      </text>
    </comment>
    <comment ref="A124" authorId="0" shapeId="0">
      <text>
        <r>
          <rPr>
            <sz val="9"/>
            <color indexed="81"/>
            <rFont val="Tahoma"/>
            <family val="2"/>
            <charset val="204"/>
          </rPr>
          <t>Багет пшеничный, ветчина, сыр, огурцы маринованные, капуста пекинская, соус</t>
        </r>
      </text>
    </comment>
    <comment ref="A125" authorId="0" shapeId="0">
      <text>
        <r>
          <rPr>
            <sz val="9"/>
            <color indexed="81"/>
            <rFont val="Tahoma"/>
            <family val="2"/>
            <charset val="204"/>
          </rPr>
          <t>Хлеб пшеничный, куриное филе, капуста пекинская, лук, майонез, хрен											¶</t>
        </r>
      </text>
    </comment>
    <comment ref="A126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масло подсолнечное, лосось солёный, томаты, сыр творожный, салат Айсберг, соус.</t>
        </r>
      </text>
    </comment>
    <comment ref="A127" authorId="0" shapeId="0">
      <text>
        <r>
          <rPr>
            <sz val="9"/>
            <color indexed="81"/>
            <rFont val="Tahoma"/>
            <family val="2"/>
            <charset val="204"/>
          </rPr>
          <t>Хлеб тостовый, ветчина, соус, сыр, огурцы маринованные, салат</t>
        </r>
      </text>
    </comment>
    <comment ref="A128" authorId="0" shapeId="0">
      <text>
        <r>
          <rPr>
            <sz val="9"/>
            <color indexed="81"/>
            <rFont val="Tahoma"/>
            <family val="2"/>
            <charset val="204"/>
          </rPr>
          <t>Хлеб, куриное филе в/к, бекон в/к, томаты, соус "Цезарь", салат</t>
        </r>
      </text>
    </comment>
    <comment ref="A129" authorId="0" shapeId="0">
      <text>
        <r>
          <rPr>
            <sz val="9"/>
            <color indexed="81"/>
            <rFont val="Tahoma"/>
            <family val="2"/>
            <charset val="204"/>
          </rPr>
          <t>Хлеб тостовый, семга соленая, соус зеленый, помидоры, салат "Айсберг"</t>
        </r>
      </text>
    </comment>
    <comment ref="A130" authorId="0" shapeId="0">
      <text>
        <r>
          <rPr>
            <sz val="9"/>
            <color indexed="81"/>
            <rFont val="Tahoma"/>
            <family val="2"/>
            <charset val="204"/>
          </rPr>
          <t>Куриное филе, томаты, капуста, огурцы, морковь, соус</t>
        </r>
      </text>
    </comment>
    <comment ref="A131" authorId="0" shapeId="0">
      <text>
        <r>
          <rPr>
            <sz val="9"/>
            <color indexed="81"/>
            <rFont val="Tahoma"/>
            <family val="2"/>
            <charset val="204"/>
          </rPr>
          <t>Кунжут, говядина, курица, лук, помидоры, салат, майонез, специи</t>
        </r>
      </text>
    </comment>
    <comment ref="A132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масло подсолнечное, кунжут, филе куриной грудки, лук, яйцо куриное, майонез, томаты, огурцы маринованные, салат Айсбер, лук красный.</t>
        </r>
      </text>
    </comment>
    <comment ref="A133" authorId="0" shapeId="0">
      <text>
        <r>
          <rPr>
            <sz val="9"/>
            <color indexed="81"/>
            <rFont val="Tahoma"/>
            <family val="2"/>
            <charset val="204"/>
          </rPr>
          <t>Тортилья, сыр, ветчина, салат Айсберг, томаты.</t>
        </r>
      </text>
    </comment>
    <comment ref="A134" authorId="0" shapeId="0">
      <text>
        <r>
          <rPr>
            <sz val="9"/>
            <color indexed="81"/>
            <rFont val="Tahoma"/>
            <family val="2"/>
            <charset val="204"/>
          </rPr>
          <t>ветчина из индейки, сыр Моцарелла, томаты, лук, морковь, перец, соль, масло растительное</t>
        </r>
      </text>
    </comment>
    <comment ref="A136" authorId="0" shapeId="0">
      <text>
        <r>
          <rPr>
            <sz val="9"/>
            <color indexed="81"/>
            <rFont val="Tahoma"/>
            <family val="2"/>
            <charset val="204"/>
          </rPr>
          <t>лепешка тортилья, филе индейки, помидоры, перец болгарский, фасоль стручковая, лук, сыр, специи</t>
        </r>
      </text>
    </comment>
    <comment ref="A138" authorId="0" shapeId="0">
      <text>
        <r>
          <rPr>
            <sz val="9"/>
            <color indexed="81"/>
            <rFont val="Tahoma"/>
            <family val="2"/>
            <charset val="204"/>
          </rPr>
          <t>Тесто, курага, яблоки, сахар, кунжут, яйцо</t>
        </r>
      </text>
    </comment>
    <comment ref="A139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яйцо, капуста, лук, масло подсолнечное</t>
        </r>
      </text>
    </comment>
    <comment ref="A140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молоко, яйцо, говядина, свинина, лук, масло подсолнечное, соль, перец черный</t>
        </r>
      </text>
    </comment>
    <comment ref="A141" authorId="0" shapeId="0">
      <text>
        <r>
          <rPr>
            <sz val="9"/>
            <color indexed="81"/>
            <rFont val="Tahoma"/>
            <family val="2"/>
            <charset val="204"/>
          </rPr>
          <t>Тесто, яблоки, сахар, корица, яйцо</t>
        </r>
      </text>
    </comment>
    <comment ref="A142" authorId="0" shapeId="0">
      <text>
        <r>
          <rPr>
            <sz val="9"/>
            <color indexed="81"/>
            <rFont val="Tahoma"/>
            <family val="2"/>
            <charset val="204"/>
          </rPr>
          <t>Мука в/с, молоко, яйцо, сахар, дрожжи, соль, лук, специи</t>
        </r>
      </text>
    </comment>
    <comment ref="A143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молоко, сахар, масло подсолнечное, яйцо, сосиска молочная ГОСТ</t>
        </r>
      </text>
    </comment>
    <comment ref="A144" authorId="0" shapeId="0">
      <text>
        <r>
          <rPr>
            <sz val="9"/>
            <color indexed="81"/>
            <rFont val="Tahoma"/>
            <family val="2"/>
            <charset val="204"/>
          </rPr>
          <t>Мука в/с, сахар, маргарин, яйцо, дрожжи, соль, мак, молоко</t>
        </r>
      </text>
    </comment>
    <comment ref="A145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молоко, маргарин, яйцо, вишня, сахар</t>
        </r>
      </text>
    </comment>
    <comment ref="A146" authorId="0" shapeId="0">
      <text>
        <r>
          <rPr>
            <sz val="9"/>
            <color indexed="81"/>
            <rFont val="Tahoma"/>
            <family val="2"/>
            <charset val="204"/>
          </rPr>
          <t>Мука пшеничня в/с, сахар, яйцо, масло сливочное, творог</t>
        </r>
      </text>
    </comment>
    <comment ref="A147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масло сливочное, филе куриной грудки, картофель, лук, масло подсолнечное, соль.</t>
        </r>
      </text>
    </comment>
    <comment ref="A148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пшеничная, меланж, говядина, филе куриной грудки, лук репчатый, масло подсолнечное, соль, перец черный</t>
        </r>
      </text>
    </comment>
    <comment ref="A149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яйцо, сыр,</t>
        </r>
      </text>
    </comment>
    <comment ref="A150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молоко, яйцо, говядина, свинина, лук, масло подсолнечное, соль, перец черный</t>
        </r>
      </text>
    </comment>
    <comment ref="A151" authorId="0" shapeId="0">
      <text>
        <r>
          <rPr>
            <sz val="9"/>
            <color indexed="81"/>
            <rFont val="Tahoma"/>
            <family val="2"/>
            <charset val="204"/>
          </rPr>
          <t>Тесто, яблоки, сахар, корица, яйцо</t>
        </r>
      </text>
    </comment>
    <comment ref="A156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масло подсолнечное, шпинат, укроп, петрушка, брынза, сыр, лук, соль</t>
        </r>
      </text>
    </comment>
    <comment ref="A160" authorId="0" shapeId="0">
      <text>
        <r>
          <rPr>
            <sz val="9"/>
            <color indexed="81"/>
            <rFont val="Tahoma"/>
            <family val="2"/>
            <charset val="204"/>
          </rPr>
          <t>Мука в/с, вода, маргарин, яйцо, соль, лук репчатый,  курица,</t>
        </r>
      </text>
    </comment>
    <comment ref="A167" authorId="0" shapeId="0">
      <text>
        <r>
          <rPr>
            <sz val="9"/>
            <color indexed="81"/>
            <rFont val="Tahoma"/>
            <family val="2"/>
            <charset val="204"/>
          </rPr>
          <t>Яблоко, вишня,  вода, сахар, лимон</t>
        </r>
      </text>
    </comment>
    <comment ref="A168" authorId="0" shapeId="0">
      <text>
        <r>
          <rPr>
            <sz val="9"/>
            <color indexed="81"/>
            <rFont val="Tahoma"/>
            <family val="2"/>
            <charset val="204"/>
          </rPr>
          <t>Яблоко, вишня,  вода, сахар, лимон</t>
        </r>
      </text>
    </comment>
  </commentList>
</comments>
</file>

<file path=xl/comments3.xml><?xml version="1.0" encoding="utf-8"?>
<comments xmlns="http://schemas.openxmlformats.org/spreadsheetml/2006/main">
  <authors>
    <author>User987</author>
  </authors>
  <commentList>
    <comment ref="A10" authorId="0" shapeId="0">
      <text>
        <r>
          <rPr>
            <sz val="9"/>
            <color indexed="81"/>
            <rFont val="Tahoma"/>
            <family val="2"/>
            <charset val="204"/>
          </rPr>
          <t>Картофель, свекла, огурцы, горошек, морковь, лук, масло подсолнечное, специи</t>
        </r>
      </text>
    </comment>
    <comment ref="A11" authorId="0" shapeId="0">
      <text>
        <r>
          <rPr>
            <sz val="9"/>
            <color indexed="81"/>
            <rFont val="Tahoma"/>
            <family val="2"/>
            <charset val="204"/>
          </rPr>
          <t>Свекла, капуста квашеная, горошек, огурцы маринованные, морковь, масло подсолнечное, укроп, лук, соль</t>
        </r>
      </text>
    </comment>
    <comment ref="A12" authorId="0" shapeId="0">
      <text>
        <r>
          <rPr>
            <sz val="9"/>
            <color indexed="81"/>
            <rFont val="Tahoma"/>
            <family val="2"/>
            <charset val="204"/>
          </rPr>
          <t>Морковь, масло подсолнечное, сахар, уксус, соль, чеснок, перец, кунжут, кориандр</t>
        </r>
      </text>
    </comment>
    <comment ref="A13" authorId="0" shapeId="0">
      <text>
        <r>
          <rPr>
            <sz val="9"/>
            <color indexed="81"/>
            <rFont val="Tahoma"/>
            <family val="2"/>
            <charset val="204"/>
          </rPr>
          <t>Куриная грудка, ветчина из индейки, молоко, огурцы, яйцо, майонез</t>
        </r>
      </text>
    </comment>
    <comment ref="A14" authorId="0" shapeId="0">
      <text>
        <r>
          <rPr>
            <sz val="9"/>
            <color indexed="81"/>
            <rFont val="Tahoma"/>
            <family val="2"/>
            <charset val="204"/>
          </rPr>
          <t>Картофель, горбуша, сайра, морковь, сыр, яйцо, майонез</t>
        </r>
      </text>
    </comment>
    <comment ref="A15" authorId="0" shapeId="0">
      <text>
        <r>
          <rPr>
            <sz val="9"/>
            <color indexed="81"/>
            <rFont val="Tahoma"/>
            <family val="2"/>
            <charset val="204"/>
          </rPr>
          <t>Рис, крабовые палочки, кукуруза, морковь, огурцы, яйцо, майонез, специи</t>
        </r>
      </text>
    </comment>
    <comment ref="A16" authorId="0" shapeId="0">
      <text>
        <r>
          <rPr>
            <sz val="9"/>
            <color indexed="81"/>
            <rFont val="Tahoma"/>
            <family val="2"/>
            <charset val="204"/>
          </rPr>
          <t>Картофель, морковь, колбаса, яйцо, горошек, майонез, специи</t>
        </r>
      </text>
    </comment>
    <comment ref="A17" authorId="0" shapeId="0">
      <text>
        <r>
          <rPr>
            <sz val="9"/>
            <color indexed="81"/>
            <rFont val="Tahoma"/>
            <family val="2"/>
            <charset val="204"/>
          </rPr>
          <t>Сельдь филе, картофель, морковь, свекла, майонез, специи</t>
        </r>
      </text>
    </comment>
    <comment ref="A18" authorId="0" shapeId="0">
      <text>
        <r>
          <rPr>
            <sz val="9"/>
            <color indexed="81"/>
            <rFont val="Tahoma"/>
            <family val="2"/>
            <charset val="204"/>
          </rPr>
          <t>Картофель, морковь, куриное филе, яйцо, горошек, майонез, специи</t>
        </r>
      </text>
    </comment>
    <comment ref="A19" authorId="0" shapeId="0">
      <text>
        <r>
          <rPr>
            <sz val="9"/>
            <color indexed="81"/>
            <rFont val="Tahoma"/>
            <family val="2"/>
            <charset val="204"/>
          </rPr>
          <t>Салат, помидоры, куриная грудка, сыр, гренки чесночные, майонез</t>
        </r>
      </text>
    </comment>
    <comment ref="A20" authorId="0" shapeId="0">
      <text>
        <r>
          <rPr>
            <sz val="9"/>
            <color indexed="81"/>
            <rFont val="Tahoma"/>
            <family val="2"/>
            <charset val="204"/>
          </rPr>
          <t>Свекла, чеснок, майонез, специи, зелень</t>
        </r>
      </text>
    </comment>
    <comment ref="A21" authorId="0" shapeId="0">
      <text>
        <r>
          <rPr>
            <sz val="9"/>
            <color indexed="81"/>
            <rFont val="Tahoma"/>
            <family val="2"/>
            <charset val="204"/>
          </rPr>
          <t>Салат, соус, помидоры, огурцы, сыр, перец болгарский, маслины, кунжут</t>
        </r>
      </text>
    </comment>
    <comment ref="A22" authorId="0" shapeId="0">
      <text>
        <r>
          <rPr>
            <sz val="9"/>
            <color indexed="81"/>
            <rFont val="Tahoma"/>
            <family val="2"/>
            <charset val="204"/>
          </rPr>
          <t>Салат, помидоры, куриная грудка, сыр, гренки чесночные, соус</t>
        </r>
      </text>
    </comment>
    <comment ref="A23" authorId="0" shapeId="0">
      <text>
        <r>
          <rPr>
            <sz val="9"/>
            <color indexed="81"/>
            <rFont val="Tahoma"/>
            <family val="2"/>
            <charset val="204"/>
          </rPr>
          <t>Картофель, горбуша, сайра, морковь, сыр, яйцо, майонез</t>
        </r>
      </text>
    </comment>
    <comment ref="A24" authorId="0" shapeId="0">
      <text>
        <r>
          <rPr>
            <sz val="9"/>
            <color indexed="81"/>
            <rFont val="Tahoma"/>
            <family val="2"/>
            <charset val="204"/>
          </rPr>
          <t>Картофель, морковь, куриное филе, яйцо, горошек, майонез, специи</t>
        </r>
      </text>
    </comment>
    <comment ref="A25" authorId="0" shapeId="0">
      <text>
        <r>
          <rPr>
            <sz val="9"/>
            <color indexed="81"/>
            <rFont val="Tahoma"/>
            <family val="2"/>
            <charset val="204"/>
          </rPr>
          <t>Сельдь филе, картофель, морковь, свекла, яйцо, майонез, специи</t>
        </r>
      </text>
    </comment>
    <comment ref="A26" authorId="0" shapeId="0">
      <text>
        <r>
          <rPr>
            <sz val="9"/>
            <color indexed="81"/>
            <rFont val="Tahoma"/>
            <family val="2"/>
            <charset val="204"/>
          </rPr>
          <t>Лапша рисовая, огурцы, перец болгарский, морковь, петрушка, лук, чеснок, кунжут, соус</t>
        </r>
      </text>
    </comment>
    <comment ref="A27" authorId="0" shapeId="0">
      <text>
        <r>
          <rPr>
            <sz val="9"/>
            <color indexed="81"/>
            <rFont val="Tahoma"/>
            <family val="2"/>
            <charset val="204"/>
          </rPr>
          <t>грдка куриная, майонез, чернослив, блины яичные, молоко, ананас, огурец, арахис</t>
        </r>
      </text>
    </comment>
    <comment ref="A32" authorId="0" shapeId="0">
      <text>
        <r>
          <rPr>
            <sz val="9"/>
            <color indexed="81"/>
            <rFont val="Tahoma"/>
            <family val="2"/>
            <charset val="204"/>
          </rPr>
          <t>Молоко 3,2%, крупа гречневая, сахар, масло сливочное, соль</t>
        </r>
      </text>
    </comment>
    <comment ref="A33" authorId="0" shapeId="0">
      <text>
        <r>
          <rPr>
            <sz val="9"/>
            <color indexed="81"/>
            <rFont val="Tahoma"/>
            <family val="2"/>
            <charset val="204"/>
          </rPr>
          <t>Овсяные хлопья, молоко, сахар, масло сливочное, соль</t>
        </r>
      </text>
    </comment>
    <comment ref="A34" authorId="0" shapeId="0">
      <text>
        <r>
          <rPr>
            <sz val="9"/>
            <color indexed="81"/>
            <rFont val="Tahoma"/>
            <family val="2"/>
            <charset val="204"/>
          </rPr>
          <t>Пшено, молоко, сахар, масло сливочное, соль</t>
        </r>
      </text>
    </comment>
    <comment ref="A35" authorId="0" shapeId="0">
      <text>
        <r>
          <rPr>
            <sz val="9"/>
            <color indexed="81"/>
            <rFont val="Tahoma"/>
            <family val="2"/>
            <charset val="204"/>
          </rPr>
          <t>Рис, молоко, сахар, масло сливочное, соль</t>
        </r>
      </text>
    </comment>
    <comment ref="A36" authorId="0" shapeId="0">
      <text>
        <r>
          <rPr>
            <sz val="9"/>
            <color indexed="81"/>
            <rFont val="Tahoma"/>
            <family val="2"/>
            <charset val="204"/>
          </rPr>
          <t>молоко, крупа манная, сливки, изюм, вишня, яблоко, сахар, корица</t>
        </r>
      </text>
    </comment>
    <comment ref="A37" authorId="0" shapeId="0">
      <text>
        <r>
          <rPr>
            <sz val="9"/>
            <color indexed="81"/>
            <rFont val="Tahoma"/>
            <family val="2"/>
            <charset val="204"/>
          </rPr>
          <t>Творог, сахар, яйцо, крупа манная, ванилин, масло подсолнечное</t>
        </r>
      </text>
    </comment>
    <comment ref="A38" authorId="0" shapeId="0">
      <text>
        <r>
          <rPr>
            <sz val="9"/>
            <color indexed="81"/>
            <rFont val="Tahoma"/>
            <family val="2"/>
            <charset val="204"/>
          </rPr>
          <t>Молоко 3,2%, мука пшеничная, сыр, яйцо, масло подсолнечное, сахар, соль, майонез 67%, чеснок</t>
        </r>
      </text>
    </comment>
    <comment ref="A39" authorId="0" shapeId="0">
      <text>
        <r>
          <rPr>
            <sz val="9"/>
            <color indexed="81"/>
            <rFont val="Tahoma"/>
            <family val="2"/>
            <charset val="204"/>
          </rPr>
          <t>Молоко, сыр, яйцо, куриное филе, томаты, майонез, масло, лук, укроп, перец чёрный</t>
        </r>
      </text>
    </comment>
    <comment ref="A40" authorId="0" shapeId="0">
      <text>
        <r>
          <rPr>
            <sz val="9"/>
            <color indexed="81"/>
            <rFont val="Tahoma"/>
            <family val="2"/>
            <charset val="204"/>
          </rPr>
          <t>Яйцо куриное, филе куриной грудки, томаты, майонез 67%, масло подсолнечное, лук репчатый, укроп, соль, перец чёрный</t>
        </r>
      </text>
    </comment>
    <comment ref="A42" authorId="0" shapeId="0">
      <text>
        <r>
          <rPr>
            <sz val="9"/>
            <color indexed="81"/>
            <rFont val="Tahoma"/>
            <family val="2"/>
            <charset val="204"/>
          </rPr>
          <t>Яйцо, молоко, соль, помидоры, укроп</t>
        </r>
      </text>
    </comment>
    <comment ref="A43" authorId="0" shapeId="0">
      <text>
        <r>
          <rPr>
            <sz val="9"/>
            <color indexed="81"/>
            <rFont val="Tahoma"/>
            <family val="2"/>
            <charset val="204"/>
          </rPr>
          <t>Яйцо, молоко, соль, сосиски</t>
        </r>
      </text>
    </comment>
    <comment ref="A45" authorId="0" shapeId="0">
      <text>
        <r>
          <rPr>
            <sz val="9"/>
            <color indexed="81"/>
            <rFont val="Tahoma"/>
            <family val="2"/>
            <charset val="204"/>
          </rPr>
          <t>Картофель, молоко, овощной бульон, сливки, соль, специи, бекон</t>
        </r>
      </text>
    </comment>
    <comment ref="A46" authorId="0" shapeId="0">
      <text>
        <r>
          <rPr>
            <sz val="9"/>
            <color indexed="81"/>
            <rFont val="Tahoma"/>
            <family val="2"/>
            <charset val="204"/>
          </rPr>
          <t>Лапша домашняя, картофель, морковь, лук, курица</t>
        </r>
      </text>
    </comment>
    <comment ref="A48" authorId="0" shapeId="0">
      <text>
        <r>
          <rPr>
            <sz val="9"/>
            <color indexed="81"/>
            <rFont val="Tahoma"/>
            <family val="2"/>
            <charset val="204"/>
          </rPr>
          <t>Свинина, куриное филе, лук, картофель, капуста, масло подсолнечное, яйцо, петрушка, соль, чеснок, перец, макароны</t>
        </r>
      </text>
    </comment>
    <comment ref="A49" authorId="0" shapeId="0">
      <text>
        <r>
          <rPr>
            <sz val="9"/>
            <color indexed="81"/>
            <rFont val="Tahoma"/>
            <family val="2"/>
            <charset val="204"/>
          </rPr>
          <t>Филе минтая, крабовые палочки, лук, майонез, яйцо, масло подсолнечное, сухари, соль, перец</t>
        </r>
      </text>
    </comment>
    <comment ref="A50" authorId="0" shapeId="0">
      <text>
        <r>
          <rPr>
            <sz val="9"/>
            <color indexed="81"/>
            <rFont val="Tahoma"/>
            <family val="2"/>
            <charset val="204"/>
          </rPr>
          <t>Филе куриной грудки, майонез , масло подсолнечное, соль, паприка</t>
        </r>
      </text>
    </comment>
    <comment ref="A51" authorId="0" shapeId="0">
      <text>
        <r>
          <rPr>
            <sz val="9"/>
            <color indexed="81"/>
            <rFont val="Tahoma"/>
            <family val="2"/>
            <charset val="204"/>
          </rPr>
          <t>Окорочка куриные, масло подсолнечное, соль, чеснок, паприка, кориандр.</t>
        </r>
      </text>
    </comment>
    <comment ref="A52" authorId="0" shapeId="0">
      <text>
        <r>
          <rPr>
            <sz val="9"/>
            <color indexed="81"/>
            <rFont val="Tahoma"/>
            <family val="2"/>
            <charset val="204"/>
          </rPr>
          <t>Крыло куриное, мука пшеничная в/с, масло подсолнечное, соль, сахар, специи.</t>
        </r>
      </text>
    </comment>
    <comment ref="A53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свинина, капуста, лук, масло подсолнечное, чеснок, соль, перец черный</t>
        </r>
      </text>
    </comment>
    <comment ref="A54" authorId="0" shapeId="0">
      <text>
        <r>
          <rPr>
            <sz val="9"/>
            <color indexed="81"/>
            <rFont val="Tahoma"/>
            <family val="2"/>
            <charset val="204"/>
          </rPr>
          <t>Филе куриное, гречка, сухари панировочные, лук репчатый, масло сливочное, масло подсолнечное, соль</t>
        </r>
      </text>
    </comment>
    <comment ref="A55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масло подсолнечное, картофель, шампиньоны, лук, соль</t>
        </r>
      </text>
    </comment>
    <comment ref="A56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пшеничная, творог, молоко, сливки, сахар, масло сливочное, соль, масло подсолнечное.</t>
        </r>
      </text>
    </comment>
    <comment ref="A57" authorId="0" shapeId="0">
      <text>
        <r>
          <rPr>
            <sz val="9"/>
            <color indexed="81"/>
            <rFont val="Tahoma"/>
            <family val="2"/>
            <charset val="204"/>
          </rPr>
          <t>Филе горбуши, яйцо, сухари панировочные, рис, кукуруза консервированная, горошек, морковь, перец болгарский, масло подсолнечное, специи</t>
        </r>
      </text>
    </comment>
    <comment ref="A58" authorId="0" shapeId="0">
      <text>
        <r>
          <rPr>
            <sz val="9"/>
            <color indexed="81"/>
            <rFont val="Tahoma"/>
            <family val="2"/>
            <charset val="204"/>
          </rPr>
          <t>Филе куриной грудки, картофель, молоко, сыр, грибы, майонез, специи</t>
        </r>
      </text>
    </comment>
    <comment ref="A59" authorId="0" shapeId="0">
      <text>
        <r>
          <rPr>
            <sz val="9"/>
            <color indexed="81"/>
            <rFont val="Tahoma"/>
            <family val="2"/>
            <charset val="204"/>
          </rPr>
          <t>Филе куриное, картофель, молоко, лук, специи</t>
        </r>
      </text>
    </comment>
    <comment ref="A60" authorId="0" shapeId="0">
      <text>
        <r>
          <rPr>
            <sz val="9"/>
            <color indexed="81"/>
            <rFont val="Tahoma"/>
            <family val="2"/>
            <charset val="204"/>
          </rPr>
          <t>Филе куриной грудки, картофель, молоко, сухари панировочные, яйцо, масло сливочное, чеснок, соль, укроп</t>
        </r>
      </text>
    </comment>
    <comment ref="A61" authorId="0" shapeId="0">
      <text>
        <r>
          <rPr>
            <sz val="9"/>
            <color indexed="81"/>
            <rFont val="Tahoma"/>
            <family val="2"/>
            <charset val="204"/>
          </rPr>
          <t>Филе индейки, филе куриной грудки, картофель, лук, сухари панировочные, яйцо, масло подсолнечное, соль, чеснок, перец черный</t>
        </r>
      </text>
    </comment>
    <comment ref="A62" authorId="0" shapeId="0">
      <text>
        <r>
          <rPr>
            <sz val="9"/>
            <color indexed="81"/>
            <rFont val="Tahoma"/>
            <family val="2"/>
            <charset val="204"/>
          </rPr>
          <t>куриная грудка,масло подсолнечное, лук, чеснок, специи	, спагетти</t>
        </r>
      </text>
    </comment>
    <comment ref="A63" authorId="0" shapeId="0">
      <text>
        <r>
          <rPr>
            <sz val="9"/>
            <color indexed="81"/>
            <rFont val="Tahoma"/>
            <family val="2"/>
            <charset val="204"/>
          </rPr>
          <t>Филе куриной грудки, сыр, картофель, молоко, яйцо, масло подсолнечное, соль</t>
        </r>
      </text>
    </comment>
    <comment ref="A64" authorId="0" shapeId="0">
      <text>
        <r>
          <rPr>
            <sz val="9"/>
            <color indexed="81"/>
            <rFont val="Tahoma"/>
            <family val="2"/>
            <charset val="204"/>
          </rPr>
          <t>Филе куриной грудки, гречка, шампиньоны, лук , масло подсолнечное, чеснок, соль, перец чёрный</t>
        </r>
      </text>
    </comment>
    <comment ref="A65" authorId="0" shapeId="0">
      <text>
        <r>
          <rPr>
            <sz val="9"/>
            <color indexed="81"/>
            <rFont val="Tahoma"/>
            <family val="2"/>
            <charset val="204"/>
          </rPr>
          <t>Лапша лагманная, куриная грудка, лук, помидоры, морковь, фасоль, перец болгарский, соль, петрушка, кориандр</t>
        </r>
      </text>
    </comment>
    <comment ref="A66" authorId="0" shapeId="0">
      <text>
        <r>
          <rPr>
            <sz val="9"/>
            <color indexed="81"/>
            <rFont val="Tahoma"/>
            <family val="2"/>
            <charset val="204"/>
          </rPr>
          <t>Говядина, курица, лук, соль, перец черный, яйцо, масло подсолнечное, сметана</t>
        </r>
      </text>
    </comment>
    <comment ref="A67" authorId="0" shapeId="0">
      <text>
        <r>
          <rPr>
            <sz val="9"/>
            <color indexed="81"/>
            <rFont val="Tahoma"/>
            <family val="2"/>
            <charset val="204"/>
          </rPr>
          <t>Говядина, курица, тыква, лук, соль, перец черный, яйцо, масло подсолнечное, сметана</t>
        </r>
      </text>
    </comment>
    <comment ref="A68" authorId="0" shapeId="0">
      <text>
        <r>
          <rPr>
            <sz val="9"/>
            <color indexed="81"/>
            <rFont val="Tahoma"/>
            <family val="2"/>
            <charset val="204"/>
          </rPr>
          <t>Свинина, шампиньоны, лук, сыр, картофель, молоко, майонез, специи</t>
        </r>
      </text>
    </comment>
    <comment ref="A69" authorId="0" shapeId="0">
      <text>
        <r>
          <rPr>
            <sz val="9"/>
            <color indexed="81"/>
            <rFont val="Tahoma"/>
            <family val="2"/>
            <charset val="204"/>
          </rPr>
          <t>Спагетти, лук репчатый, помидоры, говядина, свинина, перец болгарский, масло подсолнечное, томатная паста, чеснок, соль</t>
        </r>
      </text>
    </comment>
    <comment ref="A70" authorId="0" shapeId="0">
      <text>
        <r>
          <rPr>
            <sz val="9"/>
            <color indexed="81"/>
            <rFont val="Tahoma"/>
            <family val="2"/>
            <charset val="204"/>
          </rPr>
          <t>Спагетти, грудинка свиная, окорок свиной, лук, сыр, сливки, молоко, масло подсолнечное, соль</t>
        </r>
      </text>
    </comment>
    <comment ref="A71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яйцо куриное, масло подсолнечное, соль, куриная грудка, лук репчатый, говядина, перец чёрный</t>
        </r>
      </text>
    </comment>
    <comment ref="A72" authorId="0" shapeId="0">
      <text>
        <r>
          <rPr>
            <sz val="9"/>
            <color indexed="81"/>
            <rFont val="Tahoma"/>
            <family val="2"/>
            <charset val="204"/>
          </rPr>
          <t>Рис, филе куриной грудки, морковь, лук, масло подсолнечное, соль</t>
        </r>
      </text>
    </comment>
    <comment ref="A73" authorId="0" shapeId="0">
      <text>
        <r>
          <rPr>
            <sz val="9"/>
            <color indexed="81"/>
            <rFont val="Tahoma"/>
            <family val="2"/>
            <charset val="204"/>
          </rPr>
          <t>Рис, говядина, морковь, лук, масло подсолнечное, соль</t>
        </r>
      </text>
    </comment>
    <comment ref="A74" authorId="0" shapeId="0">
      <text>
        <r>
          <rPr>
            <sz val="9"/>
            <color indexed="81"/>
            <rFont val="Tahoma"/>
            <family val="2"/>
            <charset val="204"/>
          </rPr>
          <t>Сосиски, макароны, кетчуп</t>
        </r>
      </text>
    </comment>
    <comment ref="A75" authorId="0" shapeId="0">
      <text>
        <r>
          <rPr>
            <sz val="9"/>
            <color indexed="81"/>
            <rFont val="Tahoma"/>
            <family val="2"/>
            <charset val="204"/>
          </rPr>
          <t>Говядина, свинина, курица, лук, рис, морковь, яйцо, перец, картофель, молоко</t>
        </r>
      </text>
    </comment>
    <comment ref="A76" authorId="0" shapeId="0">
      <text>
        <r>
          <rPr>
            <sz val="9"/>
            <color indexed="81"/>
            <rFont val="Tahoma"/>
            <family val="2"/>
            <charset val="204"/>
          </rPr>
          <t>Филе минтая, яйцо, мука пшеничная в/с, сыр, масло подсолнечное, соль, картофель, молоко</t>
        </r>
      </text>
    </comment>
    <comment ref="A77" authorId="0" shapeId="0">
      <text>
        <r>
          <rPr>
            <sz val="9"/>
            <color indexed="81"/>
            <rFont val="Tahoma"/>
            <family val="2"/>
            <charset val="204"/>
          </rPr>
          <t>Филе куриной грудки, майонез , картофель, молоко, масло подсолнечное, паприка, чеснок, соль.</t>
        </r>
      </text>
    </comment>
    <comment ref="A78" authorId="0" shapeId="0">
      <text>
        <r>
          <rPr>
            <sz val="9"/>
            <color indexed="81"/>
            <rFont val="Tahoma"/>
            <family val="2"/>
            <charset val="204"/>
          </rPr>
          <t>Рис, филе куриной грудки, яйцо, морковь, брокколи, лук, перец болгарский, соус, чеснок, петрушка, кунжут</t>
        </r>
      </text>
    </comment>
    <comment ref="A79" authorId="0" shapeId="0">
      <text>
        <r>
          <rPr>
            <sz val="9"/>
            <color indexed="81"/>
            <rFont val="Tahoma"/>
            <family val="2"/>
            <charset val="204"/>
          </rPr>
          <t>колбаски баварские9 говядина, свинина), макароны, кетчуп, специи</t>
        </r>
      </text>
    </comment>
    <comment ref="A80" authorId="0" shapeId="0">
      <text>
        <r>
          <rPr>
            <sz val="9"/>
            <color indexed="81"/>
            <rFont val="Tahoma"/>
            <family val="2"/>
            <charset val="204"/>
          </rPr>
          <t>колбаски куриные, картофельное пюре, молко, сливки, масло сливочное, специи</t>
        </r>
      </text>
    </comment>
    <comment ref="A81" authorId="0" shapeId="0">
      <text>
        <r>
          <rPr>
            <sz val="9"/>
            <color indexed="81"/>
            <rFont val="Tahoma"/>
            <family val="2"/>
            <charset val="204"/>
          </rPr>
          <t>пенне, окорок свиной, свинина грудинка, лук, сливки, молоко, сыр</t>
        </r>
      </text>
    </comment>
    <comment ref="A82" authorId="0" shapeId="0">
      <text>
        <r>
          <rPr>
            <sz val="9"/>
            <color indexed="81"/>
            <rFont val="Tahoma"/>
            <family val="2"/>
            <charset val="204"/>
          </rPr>
          <t>куриная грудка, рис, капуста краснокачанная, огурцы, томаты черри, специи</t>
        </r>
      </text>
    </comment>
    <comment ref="A83" authorId="0" shapeId="0">
      <text>
        <r>
          <rPr>
            <sz val="9"/>
            <color indexed="81"/>
            <rFont val="Tahoma"/>
            <family val="2"/>
            <charset val="204"/>
          </rPr>
          <t>рис, семга слабосоленая, сыр творожный, томаты черри, редис,огурцы, бобы эдамаме, специи</t>
        </r>
      </text>
    </comment>
    <comment ref="A84" authorId="0" shapeId="0">
      <text>
        <r>
          <rPr>
            <sz val="9"/>
            <color indexed="81"/>
            <rFont val="Tahoma"/>
            <family val="2"/>
            <charset val="204"/>
          </rPr>
          <t>рис, куриное филе, лук, морковь, огурцы, блин-омлет, специи</t>
        </r>
      </text>
    </comment>
    <comment ref="A85" authorId="0" shapeId="0">
      <text>
        <r>
          <rPr>
            <sz val="9"/>
            <color indexed="81"/>
            <rFont val="Tahoma"/>
            <family val="2"/>
            <charset val="204"/>
          </rPr>
          <t>филе горбуши, спагетти, лук, помидоры, морковь, соус Песто</t>
        </r>
      </text>
    </comment>
    <comment ref="A86" authorId="0" shapeId="0">
      <text>
        <r>
          <rPr>
            <sz val="9"/>
            <color indexed="81"/>
            <rFont val="Tahoma"/>
            <family val="2"/>
            <charset val="204"/>
          </rPr>
          <t>говядина, свинина, лук, картофель, молоко, сливки</t>
        </r>
      </text>
    </comment>
    <comment ref="A87" authorId="0" shapeId="0">
      <text>
        <r>
          <rPr>
            <sz val="9"/>
            <color indexed="81"/>
            <rFont val="Tahoma"/>
            <family val="2"/>
            <charset val="204"/>
          </rPr>
          <t>говядина, свинина, лук, макароны, специи</t>
        </r>
      </text>
    </comment>
    <comment ref="A88" authorId="0" shapeId="0">
      <text>
        <r>
          <rPr>
            <sz val="9"/>
            <color indexed="81"/>
            <rFont val="Tahoma"/>
            <family val="2"/>
            <charset val="204"/>
          </rPr>
          <t>Картофель, говядина, морковь, перец болгарский, помидоры, лук, соль, перец черный</t>
        </r>
      </text>
    </comment>
    <comment ref="A89" authorId="0" shapeId="0">
      <text>
        <r>
          <rPr>
            <sz val="9"/>
            <color indexed="81"/>
            <rFont val="Tahoma"/>
            <family val="2"/>
            <charset val="204"/>
          </rPr>
          <t>Говядина, филе куриной грудки, рис, морковь, лук репчатый, картофель, масло подсолнечное, яйцо куриное, соль</t>
        </r>
      </text>
    </comment>
    <comment ref="A90" authorId="0" shapeId="0">
      <text>
        <r>
          <rPr>
            <sz val="9"/>
            <color indexed="81"/>
            <rFont val="Tahoma"/>
            <family val="2"/>
            <charset val="204"/>
          </rPr>
          <t>курица, морковь, томаты, перец болгарский, картофель, капуста, лук, чеснок, укроп, петрушка, соль, масло подсолнечное</t>
        </r>
      </text>
    </comment>
    <comment ref="A92" authorId="0" shapeId="0">
      <text>
        <r>
          <rPr>
            <sz val="9"/>
            <color indexed="81"/>
            <rFont val="Tahoma"/>
            <family val="2"/>
            <charset val="204"/>
          </rPr>
          <t>крылышки куриные, мука, картофель, паприка, чеснок, соль, масло подсолнечное, кетчуп</t>
        </r>
      </text>
    </comment>
    <comment ref="A95" authorId="0" shapeId="0">
      <text>
        <r>
          <rPr>
            <sz val="9"/>
            <color indexed="81"/>
            <rFont val="Tahoma"/>
            <family val="2"/>
            <charset val="204"/>
          </rPr>
          <t>Гречка, масло подсолнечное, соль</t>
        </r>
      </text>
    </comment>
    <comment ref="A96" authorId="0" shapeId="0">
      <text>
        <r>
          <rPr>
            <sz val="9"/>
            <color indexed="81"/>
            <rFont val="Tahoma"/>
            <family val="2"/>
            <charset val="204"/>
          </rPr>
          <t>Макароны, масло подсолнечное, специи</t>
        </r>
      </text>
    </comment>
    <comment ref="A97" authorId="0" shapeId="0">
      <text>
        <r>
          <rPr>
            <sz val="9"/>
            <color indexed="81"/>
            <rFont val="Tahoma"/>
            <family val="2"/>
            <charset val="204"/>
          </rPr>
          <t>Картофель, укроп</t>
        </r>
      </text>
    </comment>
    <comment ref="A98" authorId="0" shapeId="0">
      <text>
        <r>
          <rPr>
            <sz val="9"/>
            <color indexed="81"/>
            <rFont val="Tahoma"/>
            <family val="2"/>
            <charset val="204"/>
          </rPr>
          <t>Рис, лук, морковь, масло подсолнечное, соль</t>
        </r>
      </text>
    </comment>
    <comment ref="A100" authorId="0" shapeId="0">
      <text>
        <r>
          <rPr>
            <sz val="9"/>
            <color indexed="81"/>
            <rFont val="Tahoma"/>
            <family val="2"/>
            <charset val="204"/>
          </rPr>
          <t>Мука в/с, молоко, масло подсолнечное, яйцо, сахар, соль</t>
        </r>
      </text>
    </comment>
    <comment ref="A105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яйцо, молоко, сахар, масло подсолнечное, соль, куриная грудка, лук репчатый, шампиньоны свежие, соус "Бешамель", перец чёрный, сыр "Чечел"</t>
        </r>
      </text>
    </comment>
    <comment ref="A106" authorId="0" shapeId="0">
      <text>
        <r>
          <rPr>
            <sz val="9"/>
            <color indexed="81"/>
            <rFont val="Tahoma"/>
            <family val="2"/>
            <charset val="204"/>
          </rPr>
          <t>Мука в/с, молоко, масло подсолнечное, яйца, сахар, соль, ветчина, сыр, яйцо, сухари панировочные</t>
        </r>
      </text>
    </comment>
    <comment ref="A107" authorId="0" shapeId="0">
      <text>
        <r>
          <rPr>
            <sz val="9"/>
            <color indexed="81"/>
            <rFont val="Tahoma"/>
            <family val="2"/>
            <charset val="204"/>
          </rPr>
          <t>Мука в/с, молоко, яйцо, сливочное масло, сахар, дрожжи, соль, свинина, говядина, лук</t>
        </r>
      </text>
    </comment>
    <comment ref="A108" authorId="0" shapeId="0">
      <text>
        <r>
          <rPr>
            <sz val="9"/>
            <color indexed="81"/>
            <rFont val="Tahoma"/>
            <family val="2"/>
            <charset val="204"/>
          </rPr>
          <t>Мука в/с, молоко, яйцо, масло сливочное, сахар, дрожжи, соль, творог 9%, сахар</t>
        </r>
      </text>
    </comment>
    <comment ref="A109" authorId="0" shapeId="0">
      <text>
        <r>
          <rPr>
            <sz val="9"/>
            <color indexed="81"/>
            <rFont val="Tahoma"/>
            <family val="2"/>
            <charset val="204"/>
          </rPr>
          <t>мука, сливки, молоко, масло сливочное, курица, лук, соль</t>
        </r>
      </text>
    </comment>
    <comment ref="A110" authorId="0" shapeId="0">
      <text>
        <r>
          <rPr>
            <sz val="9"/>
            <color indexed="81"/>
            <rFont val="Tahoma"/>
            <family val="2"/>
            <charset val="204"/>
          </rPr>
          <t>Мука в/с, молоко, яйцо, масло сливочное, дрожжи, соль, яблоки, сахар</t>
        </r>
      </text>
    </comment>
    <comment ref="A112" authorId="0" shapeId="0">
      <text>
        <r>
          <rPr>
            <sz val="9"/>
            <color indexed="81"/>
            <rFont val="Tahoma"/>
            <family val="2"/>
            <charset val="204"/>
          </rPr>
          <t>Лаваш, ветчина, сыр, огурцы, салат</t>
        </r>
      </text>
    </comment>
    <comment ref="A113" authorId="0" shapeId="0">
      <text>
        <r>
          <rPr>
            <sz val="9"/>
            <color indexed="81"/>
            <rFont val="Tahoma"/>
            <family val="2"/>
            <charset val="204"/>
          </rPr>
          <t>Лаваш, куриная грудка, сыр, помидоры, соус, салат</t>
        </r>
      </text>
    </comment>
    <comment ref="A114" authorId="0" shapeId="0">
      <text>
        <r>
          <rPr>
            <sz val="9"/>
            <color indexed="81"/>
            <rFont val="Tahoma"/>
            <family val="2"/>
            <charset val="204"/>
          </rPr>
          <t>Лаваш, лосось пряного посола, блин яичный, помидоры, капуста пекинская, масло сливочное</t>
        </r>
      </text>
    </comment>
    <comment ref="A115" authorId="0" shapeId="0">
      <text>
        <r>
          <rPr>
            <sz val="9"/>
            <color indexed="81"/>
            <rFont val="Tahoma"/>
            <family val="2"/>
            <charset val="204"/>
          </rPr>
          <t>Лаваш, наггетсы куриные, хашбраун картофельный, огурцы, соус</t>
        </r>
      </text>
    </comment>
    <comment ref="A116" authorId="0" shapeId="0">
      <text>
        <r>
          <rPr>
            <sz val="9"/>
            <color indexed="81"/>
            <rFont val="Tahoma"/>
            <family val="2"/>
            <charset val="204"/>
          </rPr>
          <t>Лаваш, филе куриное, капуста б/к, томаты, огурцы маринованные, соль, чеснок, перец, яйцо, соус</t>
        </r>
      </text>
    </comment>
    <comment ref="A118" authorId="0" shapeId="0">
      <text>
        <r>
          <rPr>
            <sz val="9"/>
            <color indexed="81"/>
            <rFont val="Tahoma"/>
            <family val="2"/>
            <charset val="204"/>
          </rPr>
          <t>Багет пшеничный, буженина, соус пикантный, томаты, капуста пекинская</t>
        </r>
      </text>
    </comment>
    <comment ref="A119" authorId="0" shapeId="0">
      <text>
        <r>
          <rPr>
            <sz val="9"/>
            <color indexed="81"/>
            <rFont val="Tahoma"/>
            <family val="2"/>
            <charset val="204"/>
          </rPr>
          <t>Багет пшеничный, ветчина, капуста, соус, специи</t>
        </r>
      </text>
    </comment>
    <comment ref="A120" authorId="0" shapeId="0">
      <text>
        <r>
          <rPr>
            <sz val="9"/>
            <color indexed="81"/>
            <rFont val="Tahoma"/>
            <family val="2"/>
            <charset val="204"/>
          </rPr>
          <t>Багет пшеничный, куриное филе, капуста, соус</t>
        </r>
      </text>
    </comment>
    <comment ref="A121" authorId="0" shapeId="0">
      <text>
        <r>
          <rPr>
            <sz val="9"/>
            <color indexed="81"/>
            <rFont val="Tahoma"/>
            <family val="2"/>
            <charset val="204"/>
          </rPr>
          <t>Багет пшеничный, рулет куриный, огурец маринованный, капуста пекинская, соус</t>
        </r>
      </text>
    </comment>
    <comment ref="A122" authorId="0" shapeId="0">
      <text>
        <r>
          <rPr>
            <sz val="9"/>
            <color indexed="81"/>
            <rFont val="Tahoma"/>
            <family val="2"/>
            <charset val="204"/>
          </rPr>
          <t>Багет пшеничный, рулет из индейки, сыр, пекинская капуста, соус</t>
        </r>
      </text>
    </comment>
    <comment ref="A123" authorId="0" shapeId="0">
      <text>
        <r>
          <rPr>
            <sz val="9"/>
            <color indexed="81"/>
            <rFont val="Tahoma"/>
            <family val="2"/>
            <charset val="204"/>
          </rPr>
          <t>Багет пшеничный, ветчина, сыр, огурцы маринованные, капуста пекинская, соус</t>
        </r>
      </text>
    </comment>
    <comment ref="A124" authorId="0" shapeId="0">
      <text>
        <r>
          <rPr>
            <sz val="9"/>
            <color indexed="81"/>
            <rFont val="Tahoma"/>
            <family val="2"/>
            <charset val="204"/>
          </rPr>
          <t>Хлеб пшеничный, куриное филе, капуста пекинская, лук, майонез, хрен											¶</t>
        </r>
      </text>
    </comment>
    <comment ref="A125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масло подсолнечное, лосось солёный, томаты, сыр творожный, салат Айсберг, соус.</t>
        </r>
      </text>
    </comment>
    <comment ref="A126" authorId="0" shapeId="0">
      <text>
        <r>
          <rPr>
            <sz val="9"/>
            <color indexed="81"/>
            <rFont val="Tahoma"/>
            <family val="2"/>
            <charset val="204"/>
          </rPr>
          <t>Тортилья, сыр, ветчина, салат Айсберг, томаты.</t>
        </r>
      </text>
    </comment>
    <comment ref="A127" authorId="0" shapeId="0">
      <text>
        <r>
          <rPr>
            <sz val="9"/>
            <color indexed="81"/>
            <rFont val="Tahoma"/>
            <family val="2"/>
            <charset val="204"/>
          </rPr>
          <t>Хлеб тостовый, ветчина, соус, сыр, огурцы маринованные, салат</t>
        </r>
      </text>
    </comment>
    <comment ref="A128" authorId="0" shapeId="0">
      <text>
        <r>
          <rPr>
            <sz val="9"/>
            <color indexed="81"/>
            <rFont val="Tahoma"/>
            <family val="2"/>
            <charset val="204"/>
          </rPr>
          <t>Хлеб, куриное филе в/к, бекон в/к, томаты, соус "Цезарь", салат</t>
        </r>
      </text>
    </comment>
    <comment ref="A129" authorId="0" shapeId="0">
      <text>
        <r>
          <rPr>
            <sz val="9"/>
            <color indexed="81"/>
            <rFont val="Tahoma"/>
            <family val="2"/>
            <charset val="204"/>
          </rPr>
          <t>Хлеб тостовый, семга соленая, соус зеленый, помидоры, салат "Айсберг"</t>
        </r>
      </text>
    </comment>
    <comment ref="A130" authorId="0" shapeId="0">
      <text>
        <r>
          <rPr>
            <sz val="9"/>
            <color indexed="81"/>
            <rFont val="Tahoma"/>
            <family val="2"/>
            <charset val="204"/>
          </rPr>
          <t>Куриное филе, томаты, капуста, огурцы, морковь, соус</t>
        </r>
      </text>
    </comment>
    <comment ref="A131" authorId="0" shapeId="0">
      <text>
        <r>
          <rPr>
            <sz val="9"/>
            <color indexed="81"/>
            <rFont val="Tahoma"/>
            <family val="2"/>
            <charset val="204"/>
          </rPr>
          <t>Кунжут, говядина, курица, лук, помидоры, салат, майонез, специи</t>
        </r>
      </text>
    </comment>
    <comment ref="A132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масло подсолнечное, кунжут, филе куриной грудки, лук, яйцо куриное, майонез, томаты, огурцы маринованные, салат Айсбер, лук красный.</t>
        </r>
      </text>
    </comment>
    <comment ref="A133" authorId="0" shapeId="0">
      <text>
        <r>
          <rPr>
            <sz val="9"/>
            <color indexed="81"/>
            <rFont val="Tahoma"/>
            <family val="2"/>
            <charset val="204"/>
          </rPr>
          <t>ветчина из индейки, сыр Моцарелла, томаты, лук, морковь, перец, соль, масло растительное</t>
        </r>
      </text>
    </comment>
    <comment ref="A134" authorId="0" shapeId="0">
      <text>
        <r>
          <rPr>
            <sz val="9"/>
            <color indexed="81"/>
            <rFont val="Tahoma"/>
            <family val="2"/>
            <charset val="204"/>
          </rPr>
          <t>лепешка тортилья, филе индейки, помидоры, перец болгарский, фасоль стручковая, лук, сыр, специи</t>
        </r>
      </text>
    </comment>
    <comment ref="A137" authorId="0" shapeId="0">
      <text>
        <r>
          <rPr>
            <sz val="9"/>
            <color indexed="81"/>
            <rFont val="Tahoma"/>
            <family val="2"/>
            <charset val="204"/>
          </rPr>
          <t>Тесто, курага, яблоки, сахар, кунжут, яйцо</t>
        </r>
      </text>
    </comment>
    <comment ref="A138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яйцо, капуста, лук, масло подсолнечное</t>
        </r>
      </text>
    </comment>
    <comment ref="A139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молоко, яйцо, говядина, свинина, лук, масло подсолнечное, соль, перец черный</t>
        </r>
      </text>
    </comment>
    <comment ref="A140" authorId="0" shapeId="0">
      <text>
        <r>
          <rPr>
            <sz val="9"/>
            <color indexed="81"/>
            <rFont val="Tahoma"/>
            <family val="2"/>
            <charset val="204"/>
          </rPr>
          <t>Тесто, яблоки, сахар, корица, яйцо</t>
        </r>
      </text>
    </comment>
    <comment ref="A141" authorId="0" shapeId="0">
      <text>
        <r>
          <rPr>
            <sz val="9"/>
            <color indexed="81"/>
            <rFont val="Tahoma"/>
            <family val="2"/>
            <charset val="204"/>
          </rPr>
          <t>Мука в/с, молоко, яйцо, сахар, дрожжи, соль, лук, специи</t>
        </r>
      </text>
    </comment>
    <comment ref="A142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масло подсолнечное, шпинат, укроп, петрушка, брынза, сыр, лук, соль</t>
        </r>
      </text>
    </comment>
    <comment ref="A143" authorId="0" shapeId="0">
      <text>
        <r>
          <rPr>
            <sz val="9"/>
            <color indexed="81"/>
            <rFont val="Tahoma"/>
            <family val="2"/>
            <charset val="204"/>
          </rPr>
          <t>Мука в/с, сахар, маргарин, яйцо, дрожжи, соль, мак, молоко</t>
        </r>
      </text>
    </comment>
    <comment ref="A144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молоко, маргарин, яйцо, вишня, сахар</t>
        </r>
      </text>
    </comment>
    <comment ref="A145" authorId="0" shapeId="0">
      <text>
        <r>
          <rPr>
            <sz val="9"/>
            <color indexed="81"/>
            <rFont val="Tahoma"/>
            <family val="2"/>
            <charset val="204"/>
          </rPr>
          <t>Мука пшеничня в/с, сахар, яйцо, масло сливочное, творог</t>
        </r>
      </text>
    </comment>
    <comment ref="A146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масло сливочное, филе куриной грудки, картофель, лук, масло подсолнечное, соль.</t>
        </r>
      </text>
    </comment>
    <comment ref="A147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яйцо, сыр,</t>
        </r>
      </text>
    </comment>
    <comment ref="A148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пшеничная, меланж, говядина, филе куриной грудки, лук репчатый, масло подсолнечное, соль, перец черный</t>
        </r>
      </text>
    </comment>
    <comment ref="A149" authorId="0" shapeId="0">
      <text>
        <r>
          <rPr>
            <sz val="9"/>
            <color indexed="81"/>
            <rFont val="Tahoma"/>
            <family val="2"/>
            <charset val="204"/>
          </rPr>
          <t>Мука в/с, вода, маргарин, яйцо, соль, лук репчатый,  курица,</t>
        </r>
      </text>
    </comment>
    <comment ref="A150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молоко, сахар, масло подсолнечное, яйцо, сосиска молочная ГОСТ</t>
        </r>
      </text>
    </comment>
    <comment ref="A151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молоко, яйцо, говядина, свинина, лук, масло подсолнечное, соль, перец черный</t>
        </r>
      </text>
    </comment>
    <comment ref="A152" authorId="0" shapeId="0">
      <text>
        <r>
          <rPr>
            <sz val="9"/>
            <color indexed="81"/>
            <rFont val="Tahoma"/>
            <family val="2"/>
            <charset val="204"/>
          </rPr>
          <t>Тесто, яблоки, сахар, корица, яйцо</t>
        </r>
      </text>
    </comment>
    <comment ref="A166" authorId="0" shapeId="0">
      <text>
        <r>
          <rPr>
            <sz val="9"/>
            <color indexed="81"/>
            <rFont val="Tahoma"/>
            <family val="2"/>
            <charset val="204"/>
          </rPr>
          <t>Яблоко, вишня,  вода, сахар, лимон</t>
        </r>
      </text>
    </comment>
    <comment ref="A167" authorId="0" shapeId="0">
      <text>
        <r>
          <rPr>
            <sz val="9"/>
            <color indexed="81"/>
            <rFont val="Tahoma"/>
            <family val="2"/>
            <charset val="204"/>
          </rPr>
          <t>Яблоко, вишня,  вода, сахар, лимон</t>
        </r>
      </text>
    </comment>
  </commentList>
</comments>
</file>

<file path=xl/comments4.xml><?xml version="1.0" encoding="utf-8"?>
<comments xmlns="http://schemas.openxmlformats.org/spreadsheetml/2006/main">
  <authors>
    <author>User987</author>
  </authors>
  <commentList>
    <comment ref="A10" authorId="0" shapeId="0">
      <text>
        <r>
          <rPr>
            <sz val="9"/>
            <color indexed="81"/>
            <rFont val="Tahoma"/>
            <family val="2"/>
            <charset val="204"/>
          </rPr>
          <t>Картофель, свекла, огурцы, горошек, морковь, лук, масло подсолнечное, специи</t>
        </r>
      </text>
    </comment>
    <comment ref="A11" authorId="0" shapeId="0">
      <text>
        <r>
          <rPr>
            <sz val="9"/>
            <color indexed="81"/>
            <rFont val="Tahoma"/>
            <family val="2"/>
            <charset val="204"/>
          </rPr>
          <t>Свекла, капуста квашеная, горошек, огурцы маринованные, морковь, масло подсолнечное, укроп, лук, соль</t>
        </r>
      </text>
    </comment>
    <comment ref="A12" authorId="0" shapeId="0">
      <text>
        <r>
          <rPr>
            <sz val="9"/>
            <color indexed="81"/>
            <rFont val="Tahoma"/>
            <family val="2"/>
            <charset val="204"/>
          </rPr>
          <t>Морковь, масло подсолнечное, сахар, уксус, соль, чеснок, перец, кунжут, кориандр</t>
        </r>
      </text>
    </comment>
    <comment ref="A13" authorId="0" shapeId="0">
      <text>
        <r>
          <rPr>
            <sz val="9"/>
            <color indexed="81"/>
            <rFont val="Tahoma"/>
            <family val="2"/>
            <charset val="204"/>
          </rPr>
          <t>Куриная грудка, ветчина из индейки, молоко, огурцы, яйцо, майонез</t>
        </r>
      </text>
    </comment>
    <comment ref="A14" authorId="0" shapeId="0">
      <text>
        <r>
          <rPr>
            <sz val="9"/>
            <color indexed="81"/>
            <rFont val="Tahoma"/>
            <family val="2"/>
            <charset val="204"/>
          </rPr>
          <t>Картофель, горбуша, сайра, морковь, сыр, яйцо, майонез</t>
        </r>
      </text>
    </comment>
    <comment ref="A15" authorId="0" shapeId="0">
      <text>
        <r>
          <rPr>
            <sz val="9"/>
            <color indexed="81"/>
            <rFont val="Tahoma"/>
            <family val="2"/>
            <charset val="204"/>
          </rPr>
          <t>Рис, крабовые палочки, кукуруза, морковь, огурцы, яйцо, майонез, специи</t>
        </r>
      </text>
    </comment>
    <comment ref="A16" authorId="0" shapeId="0">
      <text>
        <r>
          <rPr>
            <sz val="9"/>
            <color indexed="81"/>
            <rFont val="Tahoma"/>
            <family val="2"/>
            <charset val="204"/>
          </rPr>
          <t>Картофель, морковь, колбаса, яйцо, горошек, майонез, специи</t>
        </r>
      </text>
    </comment>
    <comment ref="A17" authorId="0" shapeId="0">
      <text>
        <r>
          <rPr>
            <sz val="9"/>
            <color indexed="81"/>
            <rFont val="Tahoma"/>
            <family val="2"/>
            <charset val="204"/>
          </rPr>
          <t>Сельдь филе, картофель, морковь, свекла, майонез, специи</t>
        </r>
      </text>
    </comment>
    <comment ref="A18" authorId="0" shapeId="0">
      <text>
        <r>
          <rPr>
            <sz val="9"/>
            <color indexed="81"/>
            <rFont val="Tahoma"/>
            <family val="2"/>
            <charset val="204"/>
          </rPr>
          <t>Картофель, морковь, куриное филе, яйцо, горошек, майонез, специи</t>
        </r>
      </text>
    </comment>
    <comment ref="A19" authorId="0" shapeId="0">
      <text>
        <r>
          <rPr>
            <sz val="9"/>
            <color indexed="81"/>
            <rFont val="Tahoma"/>
            <family val="2"/>
            <charset val="204"/>
          </rPr>
          <t>Салат, помидоры, куриная грудка, сыр, гренки чесночные, майонез</t>
        </r>
      </text>
    </comment>
    <comment ref="A20" authorId="0" shapeId="0">
      <text>
        <r>
          <rPr>
            <sz val="9"/>
            <color indexed="81"/>
            <rFont val="Tahoma"/>
            <family val="2"/>
            <charset val="204"/>
          </rPr>
          <t>Свекла, чеснок, майонез, специи, зелень</t>
        </r>
      </text>
    </comment>
    <comment ref="A21" authorId="0" shapeId="0">
      <text>
        <r>
          <rPr>
            <sz val="9"/>
            <color indexed="81"/>
            <rFont val="Tahoma"/>
            <family val="2"/>
            <charset val="204"/>
          </rPr>
          <t>Салат, соус, помидоры, огурцы, сыр, перец болгарский, маслины, кунжут</t>
        </r>
      </text>
    </comment>
    <comment ref="A22" authorId="0" shapeId="0">
      <text>
        <r>
          <rPr>
            <sz val="9"/>
            <color indexed="81"/>
            <rFont val="Tahoma"/>
            <family val="2"/>
            <charset val="204"/>
          </rPr>
          <t>Салат, помидоры, куриная грудка, сыр, гренки чесночные, соус</t>
        </r>
      </text>
    </comment>
    <comment ref="A23" authorId="0" shapeId="0">
      <text>
        <r>
          <rPr>
            <sz val="9"/>
            <color indexed="81"/>
            <rFont val="Tahoma"/>
            <family val="2"/>
            <charset val="204"/>
          </rPr>
          <t>Картофель, горбуша, сайра, морковь, сыр, яйцо, майонез</t>
        </r>
      </text>
    </comment>
    <comment ref="A24" authorId="0" shapeId="0">
      <text>
        <r>
          <rPr>
            <sz val="9"/>
            <color indexed="81"/>
            <rFont val="Tahoma"/>
            <family val="2"/>
            <charset val="204"/>
          </rPr>
          <t>Свекла, чернослив, майонез, специи, зелень</t>
        </r>
      </text>
    </comment>
    <comment ref="A25" authorId="0" shapeId="0">
      <text>
        <r>
          <rPr>
            <sz val="9"/>
            <color indexed="81"/>
            <rFont val="Tahoma"/>
            <family val="2"/>
            <charset val="204"/>
          </rPr>
          <t>Картофель, морковь, куриное филе, яйцо, горошек, майонез, специи</t>
        </r>
      </text>
    </comment>
    <comment ref="A26" authorId="0" shapeId="0">
      <text>
        <r>
          <rPr>
            <sz val="9"/>
            <color indexed="81"/>
            <rFont val="Tahoma"/>
            <family val="2"/>
            <charset val="204"/>
          </rPr>
          <t>Сельдь филе, картофель, морковь, свекла, яйцо, майонез, специи</t>
        </r>
      </text>
    </comment>
    <comment ref="A27" authorId="0" shapeId="0">
      <text>
        <r>
          <rPr>
            <sz val="9"/>
            <color indexed="81"/>
            <rFont val="Tahoma"/>
            <family val="2"/>
            <charset val="204"/>
          </rPr>
          <t>Помидоры, огурцы, масло подсолнечное, лук, укроп</t>
        </r>
      </text>
    </comment>
    <comment ref="A28" authorId="0" shapeId="0">
      <text>
        <r>
          <rPr>
            <sz val="9"/>
            <color indexed="81"/>
            <rFont val="Tahoma"/>
            <family val="2"/>
            <charset val="204"/>
          </rPr>
          <t>Крабовое мясо, кукуруза, капуста пекинская, майонез</t>
        </r>
      </text>
    </comment>
    <comment ref="A29" authorId="0" shapeId="0">
      <text>
        <r>
          <rPr>
            <sz val="9"/>
            <color indexed="81"/>
            <rFont val="Tahoma"/>
            <family val="2"/>
            <charset val="204"/>
          </rPr>
          <t>Филе курицы, капуста пекинская, огурцы, соус</t>
        </r>
      </text>
    </comment>
    <comment ref="A30" authorId="0" shapeId="0">
      <text>
        <r>
          <rPr>
            <sz val="9"/>
            <color indexed="81"/>
            <rFont val="Tahoma"/>
            <family val="2"/>
            <charset val="204"/>
          </rPr>
          <t>Лапша рисовая, огурцы, перец болгарский, морковь, петрушка, лук, чеснок, кунжут, соус</t>
        </r>
      </text>
    </comment>
    <comment ref="A31" authorId="0" shapeId="0">
      <text>
        <r>
          <rPr>
            <sz val="9"/>
            <color indexed="81"/>
            <rFont val="Tahoma"/>
            <family val="2"/>
            <charset val="204"/>
          </rPr>
          <t>грдка куриная, майонез, чернослив, блины яичные, молоко, ананас, огурец, арахис</t>
        </r>
      </text>
    </comment>
    <comment ref="A36" authorId="0" shapeId="0">
      <text>
        <r>
          <rPr>
            <sz val="9"/>
            <color indexed="81"/>
            <rFont val="Tahoma"/>
            <family val="2"/>
            <charset val="204"/>
          </rPr>
          <t>Овсяные хлопья, молоко, сахар, масло сливочное, соль</t>
        </r>
      </text>
    </comment>
    <comment ref="A37" authorId="0" shapeId="0">
      <text>
        <r>
          <rPr>
            <sz val="9"/>
            <color indexed="81"/>
            <rFont val="Tahoma"/>
            <family val="2"/>
            <charset val="204"/>
          </rPr>
          <t>Пшено, молоко, сахар, масло сливочное, соль</t>
        </r>
      </text>
    </comment>
    <comment ref="A38" authorId="0" shapeId="0">
      <text>
        <r>
          <rPr>
            <sz val="9"/>
            <color indexed="81"/>
            <rFont val="Tahoma"/>
            <family val="2"/>
            <charset val="204"/>
          </rPr>
          <t>Рис, молоко, сахар, масло сливочное, соль</t>
        </r>
      </text>
    </comment>
    <comment ref="A39" authorId="0" shapeId="0">
      <text>
        <r>
          <rPr>
            <sz val="9"/>
            <color indexed="81"/>
            <rFont val="Tahoma"/>
            <family val="2"/>
            <charset val="204"/>
          </rPr>
          <t>молоко, крупа манная, сливки, изюм, вишня, яблоко, сахар, корица</t>
        </r>
      </text>
    </comment>
    <comment ref="A40" authorId="0" shapeId="0">
      <text>
        <r>
          <rPr>
            <sz val="9"/>
            <color indexed="81"/>
            <rFont val="Tahoma"/>
            <family val="2"/>
            <charset val="204"/>
          </rPr>
          <t>Творог, сахар, яйцо, крупа манная, ванилин, масло подсолнечное</t>
        </r>
      </text>
    </comment>
    <comment ref="A41" authorId="0" shapeId="0">
      <text>
        <r>
          <rPr>
            <sz val="9"/>
            <color indexed="81"/>
            <rFont val="Tahoma"/>
            <family val="2"/>
            <charset val="204"/>
          </rPr>
          <t>Молоко 3,2%, мука пшеничная, сыр, яйцо, масло подсолнечное, сахар, соль, майонез 67%, чеснок</t>
        </r>
      </text>
    </comment>
    <comment ref="A42" authorId="0" shapeId="0">
      <text>
        <r>
          <rPr>
            <sz val="9"/>
            <color indexed="81"/>
            <rFont val="Tahoma"/>
            <family val="2"/>
            <charset val="204"/>
          </rPr>
          <t>Молоко, сыр, яйцо, куриное филе, томаты, майонез, масло, лук, укроп, перец чёрный</t>
        </r>
      </text>
    </comment>
    <comment ref="A43" authorId="0" shapeId="0">
      <text>
        <r>
          <rPr>
            <sz val="9"/>
            <color indexed="81"/>
            <rFont val="Tahoma"/>
            <family val="2"/>
            <charset val="204"/>
          </rPr>
          <t>Яйцо куриное, филе куриной грудки, томаты, майонез 67%, масло подсолнечное, лук репчатый, укроп, соль, перец чёрный</t>
        </r>
      </text>
    </comment>
    <comment ref="A45" authorId="0" shapeId="0">
      <text>
        <r>
          <rPr>
            <sz val="9"/>
            <color indexed="81"/>
            <rFont val="Tahoma"/>
            <family val="2"/>
            <charset val="204"/>
          </rPr>
          <t>Яйцо, молоко, колбаса вареная, соль</t>
        </r>
      </text>
    </comment>
    <comment ref="A47" authorId="0" shapeId="0">
      <text>
        <r>
          <rPr>
            <sz val="9"/>
            <color indexed="81"/>
            <rFont val="Tahoma"/>
            <family val="2"/>
            <charset val="204"/>
          </rPr>
          <t>филе бедра куриного, картофель, лук репчатый, морковь,сельдерей, кабачки, масло подсолнечное , соль пищевая, чеснок свежий, перец чёрный молотый, базилик сушёный.</t>
        </r>
      </text>
    </comment>
    <comment ref="A48" authorId="0" shapeId="0">
      <text>
        <r>
          <rPr>
            <sz val="9"/>
            <color indexed="81"/>
            <rFont val="Tahoma"/>
            <family val="2"/>
            <charset val="204"/>
          </rPr>
          <t>Сосиска, грудинка копченая, картофель, лук, морковь, томатное пюре, маслины, лимон</t>
        </r>
      </text>
    </comment>
    <comment ref="A50" authorId="0" shapeId="0">
      <text>
        <r>
          <rPr>
            <sz val="9"/>
            <color indexed="81"/>
            <rFont val="Tahoma"/>
            <family val="2"/>
            <charset val="204"/>
          </rPr>
          <t>Крыло куриное, мука пшеничная в/с, масло подсолнечное, соль, сахар, специи.</t>
        </r>
      </text>
    </comment>
    <comment ref="A51" authorId="0" shapeId="0">
      <text>
        <r>
          <rPr>
            <sz val="9"/>
            <color indexed="81"/>
            <rFont val="Tahoma"/>
            <family val="2"/>
            <charset val="204"/>
          </rPr>
          <t>Свинина, куриное филе, лук, картофель, капуста, масло подсолнечное, яйцо, петрушка, соль, чеснок, перец, макароны</t>
        </r>
      </text>
    </comment>
    <comment ref="A52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свинина, капуста, лук, масло подсолнечное, чеснок, соль, перец черный</t>
        </r>
      </text>
    </comment>
    <comment ref="A53" authorId="0" shapeId="0">
      <text>
        <r>
          <rPr>
            <sz val="9"/>
            <color indexed="81"/>
            <rFont val="Tahoma"/>
            <family val="2"/>
            <charset val="204"/>
          </rPr>
          <t>Филе куриное, гречка, сухари панировочные, лук репчатый, масло сливочное, масло подсолнечное, соль</t>
        </r>
      </text>
    </comment>
    <comment ref="A54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масло подсолнечное, картофель, шампиньоны, лук, соль</t>
        </r>
      </text>
    </comment>
    <comment ref="A55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пшеничная, творог, молоко, сливки, сахар, масло сливочное, соль, масло подсолнечное.</t>
        </r>
      </text>
    </comment>
    <comment ref="A56" authorId="0" shapeId="0">
      <text>
        <r>
          <rPr>
            <sz val="9"/>
            <color indexed="81"/>
            <rFont val="Tahoma"/>
            <family val="2"/>
            <charset val="204"/>
          </rPr>
          <t>Филе горбуши, яйцо, сухари панировочные, рис, кукуруза консервированная, горошек, морковь, перец болгарский, масло подсолнечное, специи</t>
        </r>
      </text>
    </comment>
    <comment ref="A57" authorId="0" shapeId="0">
      <text>
        <r>
          <rPr>
            <sz val="9"/>
            <color indexed="81"/>
            <rFont val="Tahoma"/>
            <family val="2"/>
            <charset val="204"/>
          </rPr>
          <t>Филе куриной грудки, картофель, молоко, сыр, грибы, майонез, специи</t>
        </r>
      </text>
    </comment>
    <comment ref="A58" authorId="0" shapeId="0">
      <text>
        <r>
          <rPr>
            <sz val="9"/>
            <color indexed="81"/>
            <rFont val="Tahoma"/>
            <family val="2"/>
            <charset val="204"/>
          </rPr>
          <t>Филе куриное, картофель, молоко, лук, специи</t>
        </r>
      </text>
    </comment>
    <comment ref="A59" authorId="0" shapeId="0">
      <text>
        <r>
          <rPr>
            <sz val="9"/>
            <color indexed="81"/>
            <rFont val="Tahoma"/>
            <family val="2"/>
            <charset val="204"/>
          </rPr>
          <t>Филе куриной грудки, картофель, молоко, сухари панировочные, яйцо, масло сливочное, чеснок, соль, укроп</t>
        </r>
      </text>
    </comment>
    <comment ref="A60" authorId="0" shapeId="0">
      <text>
        <r>
          <rPr>
            <sz val="9"/>
            <color indexed="81"/>
            <rFont val="Tahoma"/>
            <family val="2"/>
            <charset val="204"/>
          </rPr>
          <t>Филе индейки, филе куриной грудки, картофель, лук, сухари панировочные, яйцо, масло подсолнечное, соль, чеснок, перец черный</t>
        </r>
      </text>
    </comment>
    <comment ref="A61" authorId="0" shapeId="0">
      <text>
        <r>
          <rPr>
            <sz val="9"/>
            <color indexed="81"/>
            <rFont val="Tahoma"/>
            <family val="2"/>
            <charset val="204"/>
          </rPr>
          <t>куриная грудка,масло подсолнечное, лук, чеснок, специи	, спагетти</t>
        </r>
      </text>
    </comment>
    <comment ref="A62" authorId="0" shapeId="0">
      <text>
        <r>
          <rPr>
            <sz val="9"/>
            <color indexed="81"/>
            <rFont val="Tahoma"/>
            <family val="2"/>
            <charset val="204"/>
          </rPr>
          <t>Филе куриной грудки, сыр, картофель, молоко, яйцо, масло подсолнечное, соль</t>
        </r>
      </text>
    </comment>
    <comment ref="A63" authorId="0" shapeId="0">
      <text>
        <r>
          <rPr>
            <sz val="9"/>
            <color indexed="81"/>
            <rFont val="Tahoma"/>
            <family val="2"/>
            <charset val="204"/>
          </rPr>
          <t>Филе куриной грудки, гречка, шампиньоны, лук , масло подсолнечное, чеснок, соль, перец чёрный</t>
        </r>
      </text>
    </comment>
    <comment ref="A64" authorId="0" shapeId="0">
      <text>
        <r>
          <rPr>
            <sz val="9"/>
            <color indexed="81"/>
            <rFont val="Tahoma"/>
            <family val="2"/>
            <charset val="204"/>
          </rPr>
          <t>Лапша лагманная, куриная грудка, лук, помидоры, морковь, фасоль, перец болгарский, соль, петрушка, кориандр</t>
        </r>
      </text>
    </comment>
    <comment ref="A65" authorId="0" shapeId="0">
      <text>
        <r>
          <rPr>
            <sz val="9"/>
            <color indexed="81"/>
            <rFont val="Tahoma"/>
            <family val="2"/>
            <charset val="204"/>
          </rPr>
          <t>Говядина, курица, лук, соль, перец черный, яйцо, масло подсолнечное, сметана</t>
        </r>
      </text>
    </comment>
    <comment ref="A66" authorId="0" shapeId="0">
      <text>
        <r>
          <rPr>
            <sz val="9"/>
            <color indexed="81"/>
            <rFont val="Tahoma"/>
            <family val="2"/>
            <charset val="204"/>
          </rPr>
          <t>Говядина, курица, тыква, лук, соль, перец черный, яйцо, масло подсолнечное, сметана</t>
        </r>
      </text>
    </comment>
    <comment ref="A67" authorId="0" shapeId="0">
      <text>
        <r>
          <rPr>
            <sz val="9"/>
            <color indexed="81"/>
            <rFont val="Tahoma"/>
            <family val="2"/>
            <charset val="204"/>
          </rPr>
          <t>Свинина, шампиньоны, лук, сыр, картофель, молоко, майонез, специи</t>
        </r>
      </text>
    </comment>
    <comment ref="A68" authorId="0" shapeId="0">
      <text>
        <r>
          <rPr>
            <sz val="9"/>
            <color indexed="81"/>
            <rFont val="Tahoma"/>
            <family val="2"/>
            <charset val="204"/>
          </rPr>
          <t>Спагетти, лук репчатый, помидоры, говядина, свинина, перец болгарский, масло подсолнечное, томатная паста, чеснок, соль</t>
        </r>
      </text>
    </comment>
    <comment ref="A69" authorId="0" shapeId="0">
      <text>
        <r>
          <rPr>
            <sz val="9"/>
            <color indexed="81"/>
            <rFont val="Tahoma"/>
            <family val="2"/>
            <charset val="204"/>
          </rPr>
          <t>Спагетти, грудинка свиная, окорок свиной, лук, сыр, сливки, молоко, масло подсолнечное, соль</t>
        </r>
      </text>
    </comment>
    <comment ref="A70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яйцо куриное, масло подсолнечное, соль, куриная грудка, лук репчатый, говядина, перец чёрный</t>
        </r>
      </text>
    </comment>
    <comment ref="A71" authorId="0" shapeId="0">
      <text>
        <r>
          <rPr>
            <sz val="9"/>
            <color indexed="81"/>
            <rFont val="Tahoma"/>
            <family val="2"/>
            <charset val="204"/>
          </rPr>
          <t>Рис, филе куриной грудки, морковь, лук, масло подсолнечное, соль</t>
        </r>
      </text>
    </comment>
    <comment ref="A72" authorId="0" shapeId="0">
      <text>
        <r>
          <rPr>
            <sz val="9"/>
            <color indexed="81"/>
            <rFont val="Tahoma"/>
            <family val="2"/>
            <charset val="204"/>
          </rPr>
          <t>Рис, говядина, морковь, лук, масло подсолнечное, соль</t>
        </r>
      </text>
    </comment>
    <comment ref="A73" authorId="0" shapeId="0">
      <text>
        <r>
          <rPr>
            <sz val="9"/>
            <color indexed="81"/>
            <rFont val="Tahoma"/>
            <family val="2"/>
            <charset val="204"/>
          </rPr>
          <t>Сосиски, макароны, кетчуп</t>
        </r>
      </text>
    </comment>
    <comment ref="A74" authorId="0" shapeId="0">
      <text>
        <r>
          <rPr>
            <sz val="9"/>
            <color indexed="81"/>
            <rFont val="Tahoma"/>
            <family val="2"/>
            <charset val="204"/>
          </rPr>
          <t>Говядина, свинина, курица, лук, рис, морковь, яйцо, перец, картофель, молоко</t>
        </r>
      </text>
    </comment>
    <comment ref="A75" authorId="0" shapeId="0">
      <text>
        <r>
          <rPr>
            <sz val="9"/>
            <color indexed="81"/>
            <rFont val="Tahoma"/>
            <family val="2"/>
            <charset val="204"/>
          </rPr>
          <t>Филе минтая, яйцо, мука пшеничная в/с, сыр, масло подсолнечное, соль, картофель, молоко</t>
        </r>
      </text>
    </comment>
    <comment ref="A76" authorId="0" shapeId="0">
      <text>
        <r>
          <rPr>
            <sz val="9"/>
            <color indexed="81"/>
            <rFont val="Tahoma"/>
            <family val="2"/>
            <charset val="204"/>
          </rPr>
          <t>Филе куриной грудки, майонез , картофель, молоко, масло подсолнечное, паприка, чеснок, соль.</t>
        </r>
      </text>
    </comment>
    <comment ref="A77" authorId="0" shapeId="0">
      <text>
        <r>
          <rPr>
            <sz val="9"/>
            <color indexed="81"/>
            <rFont val="Tahoma"/>
            <family val="2"/>
            <charset val="204"/>
          </rPr>
          <t>Рис, филе куриной грудки, яйцо, морковь, брокколи, лук, перец болгарский, соус, чеснок, петрушка, кунжут</t>
        </r>
      </text>
    </comment>
    <comment ref="A78" authorId="0" shapeId="0">
      <text>
        <r>
          <rPr>
            <sz val="9"/>
            <color indexed="81"/>
            <rFont val="Tahoma"/>
            <family val="2"/>
            <charset val="204"/>
          </rPr>
          <t>колбаски баварские9 говядина, свинина), макароны, кетчуп, специи</t>
        </r>
      </text>
    </comment>
    <comment ref="A79" authorId="0" shapeId="0">
      <text>
        <r>
          <rPr>
            <sz val="9"/>
            <color indexed="81"/>
            <rFont val="Tahoma"/>
            <family val="2"/>
            <charset val="204"/>
          </rPr>
          <t>колбаски куриные, картофельное пюре, молко, сливки, масло сливочное, специи</t>
        </r>
      </text>
    </comment>
    <comment ref="A80" authorId="0" shapeId="0">
      <text>
        <r>
          <rPr>
            <sz val="9"/>
            <color indexed="81"/>
            <rFont val="Tahoma"/>
            <family val="2"/>
            <charset val="204"/>
          </rPr>
          <t>пенне, окорок свиной, свинина грудинка, лук, сливки, молоко, сыр</t>
        </r>
      </text>
    </comment>
    <comment ref="A81" authorId="0" shapeId="0">
      <text>
        <r>
          <rPr>
            <sz val="9"/>
            <color indexed="81"/>
            <rFont val="Tahoma"/>
            <family val="2"/>
            <charset val="204"/>
          </rPr>
          <t>куриная грудка, рис, капуста краснокачанная, огурцы, томаты черри, специи</t>
        </r>
      </text>
    </comment>
    <comment ref="A82" authorId="0" shapeId="0">
      <text>
        <r>
          <rPr>
            <sz val="9"/>
            <color indexed="81"/>
            <rFont val="Tahoma"/>
            <family val="2"/>
            <charset val="204"/>
          </rPr>
          <t>рис, семга слабосоленая, сыр творожный, томаты черри, редис,огурцы, бобы эдамаме, специи</t>
        </r>
      </text>
    </comment>
    <comment ref="A83" authorId="0" shapeId="0">
      <text>
        <r>
          <rPr>
            <sz val="9"/>
            <color indexed="81"/>
            <rFont val="Tahoma"/>
            <family val="2"/>
            <charset val="204"/>
          </rPr>
          <t>рис, куриное филе, лук, морковь, огурцы, блин-омлет, специи</t>
        </r>
      </text>
    </comment>
    <comment ref="A84" authorId="0" shapeId="0">
      <text>
        <r>
          <rPr>
            <sz val="9"/>
            <color indexed="81"/>
            <rFont val="Tahoma"/>
            <family val="2"/>
            <charset val="204"/>
          </rPr>
          <t>филе горбуши, спагетти, лук, помидоры, морковь, соус Песто</t>
        </r>
      </text>
    </comment>
    <comment ref="A85" authorId="0" shapeId="0">
      <text>
        <r>
          <rPr>
            <sz val="9"/>
            <color indexed="81"/>
            <rFont val="Tahoma"/>
            <family val="2"/>
            <charset val="204"/>
          </rPr>
          <t>говядина, свинина, лук, картофель, молоко, сливки</t>
        </r>
      </text>
    </comment>
    <comment ref="A86" authorId="0" shapeId="0">
      <text>
        <r>
          <rPr>
            <sz val="9"/>
            <color indexed="81"/>
            <rFont val="Tahoma"/>
            <family val="2"/>
            <charset val="204"/>
          </rPr>
          <t>говядина, свинина, лук, макароны, специи</t>
        </r>
      </text>
    </comment>
    <comment ref="A87" authorId="0" shapeId="0">
      <text>
        <r>
          <rPr>
            <sz val="9"/>
            <color indexed="81"/>
            <rFont val="Tahoma"/>
            <family val="2"/>
            <charset val="204"/>
          </rPr>
          <t>Картофель, говядина, морковь, перец болгарский, помидоры, лук, соль, перец черный</t>
        </r>
      </text>
    </comment>
    <comment ref="A88" authorId="0" shapeId="0">
      <text>
        <r>
          <rPr>
            <sz val="9"/>
            <color indexed="81"/>
            <rFont val="Tahoma"/>
            <family val="2"/>
            <charset val="204"/>
          </rPr>
          <t>курица, морковь, томаты, перец болгарский, картофель, капуста, лук, чеснок, укроп, петрушка, соль, масло подсолнечное</t>
        </r>
      </text>
    </comment>
    <comment ref="A89" authorId="0" shapeId="0">
      <text>
        <r>
          <rPr>
            <sz val="9"/>
            <color indexed="81"/>
            <rFont val="Tahoma"/>
            <family val="2"/>
            <charset val="204"/>
          </rPr>
          <t>Говядина, филе куриной грудки, рис, морковь, лук репчатый, картофель, масло подсолнечное, яйцо куриное, соль</t>
        </r>
      </text>
    </comment>
    <comment ref="A91" authorId="0" shapeId="0">
      <text>
        <r>
          <rPr>
            <sz val="9"/>
            <color indexed="81"/>
            <rFont val="Tahoma"/>
            <family val="2"/>
            <charset val="204"/>
          </rPr>
          <t>крылышки куриные, мука, картофель, молоко, масло сливочное, соль, масло подсолнечное, кетчуп</t>
        </r>
      </text>
    </comment>
    <comment ref="A94" authorId="0" shapeId="0">
      <text>
        <r>
          <rPr>
            <sz val="9"/>
            <color indexed="81"/>
            <rFont val="Tahoma"/>
            <family val="2"/>
            <charset val="204"/>
          </rPr>
          <t>Макароны, масло подсолнечное, специи</t>
        </r>
      </text>
    </comment>
    <comment ref="A95" authorId="0" shapeId="0">
      <text>
        <r>
          <rPr>
            <sz val="9"/>
            <color indexed="81"/>
            <rFont val="Tahoma"/>
            <family val="2"/>
            <charset val="204"/>
          </rPr>
          <t>Рис, лук, морковь, масло подсолнечное, соль</t>
        </r>
      </text>
    </comment>
    <comment ref="A96" authorId="0" shapeId="0">
      <text>
        <r>
          <rPr>
            <sz val="9"/>
            <color indexed="81"/>
            <rFont val="Tahoma"/>
            <family val="2"/>
            <charset val="204"/>
          </rPr>
          <t>Картофель, молоко, масло сливочное, специи</t>
        </r>
      </text>
    </comment>
    <comment ref="A97" authorId="0" shapeId="0">
      <text>
        <r>
          <rPr>
            <sz val="9"/>
            <color indexed="81"/>
            <rFont val="Tahoma"/>
            <family val="2"/>
            <charset val="204"/>
          </rPr>
          <t>Гречка, масло подсолнечное, соль</t>
        </r>
      </text>
    </comment>
    <comment ref="A99" authorId="0" shapeId="0">
      <text>
        <r>
          <rPr>
            <sz val="9"/>
            <color indexed="81"/>
            <rFont val="Tahoma"/>
            <family val="2"/>
            <charset val="204"/>
          </rPr>
          <t>Мука в/с, молоко, масло подсолнечное, яйцо, сахар, соль</t>
        </r>
      </text>
    </comment>
    <comment ref="A104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яйцо, молоко, сахар, масло подсолнечное, соль, куриная грудка, лук репчатый, шампиньоны свежие, соус "Бешамель", перец чёрный, сыр "Чечел"</t>
        </r>
      </text>
    </comment>
    <comment ref="A105" authorId="0" shapeId="0">
      <text>
        <r>
          <rPr>
            <sz val="9"/>
            <color indexed="81"/>
            <rFont val="Tahoma"/>
            <family val="2"/>
            <charset val="204"/>
          </rPr>
          <t>Мука в/с, молоко, масло подсолнечное, яйца, сахар, соль, ветчина, сыр, яйцо, сухари панировочные</t>
        </r>
      </text>
    </comment>
    <comment ref="A106" authorId="0" shapeId="0">
      <text>
        <r>
          <rPr>
            <sz val="9"/>
            <color indexed="81"/>
            <rFont val="Tahoma"/>
            <family val="2"/>
            <charset val="204"/>
          </rPr>
          <t>Мука в/с, молоко, яйцо, сливочное масло, сахар, дрожжи, соль, свинина, говядина, лук</t>
        </r>
      </text>
    </comment>
    <comment ref="A107" authorId="0" shapeId="0">
      <text>
        <r>
          <rPr>
            <sz val="9"/>
            <color indexed="81"/>
            <rFont val="Tahoma"/>
            <family val="2"/>
            <charset val="204"/>
          </rPr>
          <t>Мука в/с, молоко, яйцо, масло сливочное, сахар, дрожжи, соль, творог 9%, сахар</t>
        </r>
      </text>
    </comment>
    <comment ref="A108" authorId="0" shapeId="0">
      <text>
        <r>
          <rPr>
            <sz val="9"/>
            <color indexed="81"/>
            <rFont val="Tahoma"/>
            <family val="2"/>
            <charset val="204"/>
          </rPr>
          <t>мука, сливки, молоко, масло сливочное, курица, лук, соль</t>
        </r>
      </text>
    </comment>
    <comment ref="A109" authorId="0" shapeId="0">
      <text>
        <r>
          <rPr>
            <sz val="9"/>
            <color indexed="81"/>
            <rFont val="Tahoma"/>
            <family val="2"/>
            <charset val="204"/>
          </rPr>
          <t>Мука в/с, молоко, яйцо, масло сливочное, дрожжи, соль, яблоки, сахар</t>
        </r>
      </text>
    </comment>
    <comment ref="A111" authorId="0" shapeId="0">
      <text>
        <r>
          <rPr>
            <sz val="9"/>
            <color indexed="81"/>
            <rFont val="Tahoma"/>
            <family val="2"/>
            <charset val="204"/>
          </rPr>
          <t>Лаваш, ветчина, сыр, огурцы, салат</t>
        </r>
      </text>
    </comment>
    <comment ref="A112" authorId="0" shapeId="0">
      <text>
        <r>
          <rPr>
            <sz val="9"/>
            <color indexed="81"/>
            <rFont val="Tahoma"/>
            <family val="2"/>
            <charset val="204"/>
          </rPr>
          <t>Лаваш, куриная грудка, сыр, помидоры, соус, салат</t>
        </r>
      </text>
    </comment>
    <comment ref="A113" authorId="0" shapeId="0">
      <text>
        <r>
          <rPr>
            <sz val="9"/>
            <color indexed="81"/>
            <rFont val="Tahoma"/>
            <family val="2"/>
            <charset val="204"/>
          </rPr>
          <t>Лаваш, лосось пряного посола, блин яичный, помидоры, капуста пекинская, масло сливочное</t>
        </r>
      </text>
    </comment>
    <comment ref="A114" authorId="0" shapeId="0">
      <text>
        <r>
          <rPr>
            <sz val="9"/>
            <color indexed="81"/>
            <rFont val="Tahoma"/>
            <family val="2"/>
            <charset val="204"/>
          </rPr>
          <t>Лаваш, филе куриное, капуста б/к, томаты, огурцы маринованные, соль, чеснок, перец, яйцо, соус</t>
        </r>
      </text>
    </comment>
    <comment ref="A115" authorId="0" shapeId="0">
      <text>
        <r>
          <rPr>
            <sz val="9"/>
            <color indexed="81"/>
            <rFont val="Tahoma"/>
            <family val="2"/>
            <charset val="204"/>
          </rPr>
          <t>Лаваш, наггетсы куриные, хашбраун картофельный, огурцы, соус</t>
        </r>
      </text>
    </comment>
    <comment ref="A117" authorId="0" shapeId="0">
      <text>
        <r>
          <rPr>
            <sz val="9"/>
            <color indexed="81"/>
            <rFont val="Tahoma"/>
            <family val="2"/>
            <charset val="204"/>
          </rPr>
          <t>Багет пшеничный, буженина, соус пикантный, томаты, капуста пекинская</t>
        </r>
      </text>
    </comment>
    <comment ref="A118" authorId="0" shapeId="0">
      <text>
        <r>
          <rPr>
            <sz val="9"/>
            <color indexed="81"/>
            <rFont val="Tahoma"/>
            <family val="2"/>
            <charset val="204"/>
          </rPr>
          <t>Багет пшеничный, ветчина, капуста, соус, специи</t>
        </r>
      </text>
    </comment>
    <comment ref="A119" authorId="0" shapeId="0">
      <text>
        <r>
          <rPr>
            <sz val="9"/>
            <color indexed="81"/>
            <rFont val="Tahoma"/>
            <family val="2"/>
            <charset val="204"/>
          </rPr>
          <t>Багет пшеничный, куриное филе, капуста, соус</t>
        </r>
      </text>
    </comment>
    <comment ref="A120" authorId="0" shapeId="0">
      <text>
        <r>
          <rPr>
            <sz val="9"/>
            <color indexed="81"/>
            <rFont val="Tahoma"/>
            <family val="2"/>
            <charset val="204"/>
          </rPr>
          <t>Багет пшеничный, рулет куриный, огурец маринованный, капуста пекинская, соус</t>
        </r>
      </text>
    </comment>
    <comment ref="A121" authorId="0" shapeId="0">
      <text>
        <r>
          <rPr>
            <sz val="9"/>
            <color indexed="81"/>
            <rFont val="Tahoma"/>
            <family val="2"/>
            <charset val="204"/>
          </rPr>
          <t>Багет пшеничный, рулет из индейки, сыр, пекинская капуста, соус</t>
        </r>
      </text>
    </comment>
    <comment ref="A122" authorId="0" shapeId="0">
      <text>
        <r>
          <rPr>
            <sz val="9"/>
            <color indexed="81"/>
            <rFont val="Tahoma"/>
            <family val="2"/>
            <charset val="204"/>
          </rPr>
          <t>Багет пшеничный, ветчина, сыр, огурцы маринованные, капуста пекинская, соус</t>
        </r>
      </text>
    </comment>
    <comment ref="A123" authorId="0" shapeId="0">
      <text>
        <r>
          <rPr>
            <sz val="9"/>
            <color indexed="81"/>
            <rFont val="Tahoma"/>
            <family val="2"/>
            <charset val="204"/>
          </rPr>
          <t>Хлеб пшеничный, куриное филе, капуста пекинская, лук, майонез, хрен											¶</t>
        </r>
      </text>
    </comment>
    <comment ref="A124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масло подсолнечное, лосось солёный, томаты, сыр творожный, салат Айсберг, соус.</t>
        </r>
      </text>
    </comment>
    <comment ref="A125" authorId="0" shapeId="0">
      <text>
        <r>
          <rPr>
            <sz val="9"/>
            <color indexed="81"/>
            <rFont val="Tahoma"/>
            <family val="2"/>
            <charset val="204"/>
          </rPr>
          <t>Хлеб тостовый, ветчина, соус, сыр, огурцы маринованные, салат</t>
        </r>
      </text>
    </comment>
    <comment ref="A126" authorId="0" shapeId="0">
      <text>
        <r>
          <rPr>
            <sz val="9"/>
            <color indexed="81"/>
            <rFont val="Tahoma"/>
            <family val="2"/>
            <charset val="204"/>
          </rPr>
          <t>Хлеб, куриное филе в/к, бекон в/к, томаты, соус "Цезарь", салат</t>
        </r>
      </text>
    </comment>
    <comment ref="A127" authorId="0" shapeId="0">
      <text>
        <r>
          <rPr>
            <sz val="9"/>
            <color indexed="81"/>
            <rFont val="Tahoma"/>
            <family val="2"/>
            <charset val="204"/>
          </rPr>
          <t>Хлеб тостовый, семга соленая, соус зеленый, помидоры, салат "Айсберг"</t>
        </r>
      </text>
    </comment>
    <comment ref="A128" authorId="0" shapeId="0">
      <text>
        <r>
          <rPr>
            <sz val="9"/>
            <color indexed="81"/>
            <rFont val="Tahoma"/>
            <family val="2"/>
            <charset val="204"/>
          </rPr>
          <t>Куриное филе, томаты, капуста, огурцы, морковь, соус</t>
        </r>
      </text>
    </comment>
    <comment ref="A129" authorId="0" shapeId="0">
      <text>
        <r>
          <rPr>
            <sz val="9"/>
            <color indexed="81"/>
            <rFont val="Tahoma"/>
            <family val="2"/>
            <charset val="204"/>
          </rPr>
          <t>Кунжут, говядина, курица, лук, помидоры, салат, майонез, специи</t>
        </r>
      </text>
    </comment>
    <comment ref="A130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масло подсолнечное, кунжут, филе куриной грудки, лук, яйцо куриное, майонез, томаты, огурцы маринованные, салат Айсбер, лук красный.</t>
        </r>
      </text>
    </comment>
    <comment ref="A131" authorId="0" shapeId="0">
      <text>
        <r>
          <rPr>
            <sz val="9"/>
            <color indexed="81"/>
            <rFont val="Tahoma"/>
            <family val="2"/>
            <charset val="204"/>
          </rPr>
          <t>Тортилья, сыр, ветчина, салат Айсберг, томаты.</t>
        </r>
      </text>
    </comment>
    <comment ref="A132" authorId="0" shapeId="0">
      <text>
        <r>
          <rPr>
            <sz val="9"/>
            <color indexed="81"/>
            <rFont val="Tahoma"/>
            <family val="2"/>
            <charset val="204"/>
          </rPr>
          <t>ветчина из индейки, сыр Моцарелла, томаты, лук, морковь, перец, соль, масло растительное</t>
        </r>
      </text>
    </comment>
    <comment ref="A133" authorId="0" shapeId="0">
      <text>
        <r>
          <rPr>
            <sz val="9"/>
            <color indexed="81"/>
            <rFont val="Tahoma"/>
            <family val="2"/>
            <charset val="204"/>
          </rPr>
          <t>лепешка тортилья, филе индейки, помидоры, перец болгарский, фасоль стручковая, лук, сыр, специи</t>
        </r>
      </text>
    </comment>
    <comment ref="A136" authorId="0" shapeId="0">
      <text>
        <r>
          <rPr>
            <sz val="9"/>
            <color indexed="81"/>
            <rFont val="Tahoma"/>
            <family val="2"/>
            <charset val="204"/>
          </rPr>
          <t>Тесто, курага, яблоки, сахар, кунжут, яйцо</t>
        </r>
      </text>
    </comment>
    <comment ref="A137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яйцо, капуста, лук, масло подсолнечное</t>
        </r>
      </text>
    </comment>
    <comment ref="A138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молоко, яйцо, говядина, свинина, лук, масло подсолнечное, соль, перец черный</t>
        </r>
      </text>
    </comment>
    <comment ref="A139" authorId="0" shapeId="0">
      <text>
        <r>
          <rPr>
            <sz val="9"/>
            <color indexed="81"/>
            <rFont val="Tahoma"/>
            <family val="2"/>
            <charset val="204"/>
          </rPr>
          <t>Тесто, яблоки, сахар, корица, яйцо</t>
        </r>
      </text>
    </comment>
    <comment ref="A140" authorId="0" shapeId="0">
      <text>
        <r>
          <rPr>
            <sz val="9"/>
            <color indexed="81"/>
            <rFont val="Tahoma"/>
            <family val="2"/>
            <charset val="204"/>
          </rPr>
          <t>Мука в/с, молоко, яйцо, сахар, дрожжи, соль, лук, специи</t>
        </r>
      </text>
    </comment>
    <comment ref="A141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масло подсолнечное, шпинат, укроп, петрушка, брынза, сыр, лук, соль</t>
        </r>
      </text>
    </comment>
    <comment ref="A142" authorId="0" shapeId="0">
      <text>
        <r>
          <rPr>
            <sz val="9"/>
            <color indexed="81"/>
            <rFont val="Tahoma"/>
            <family val="2"/>
            <charset val="204"/>
          </rPr>
          <t>Мука в/с, сахар, маргарин, яйцо, дрожжи, соль, мак, молоко</t>
        </r>
      </text>
    </comment>
    <comment ref="A143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молоко, маргарин, яйцо, вишня, сахар</t>
        </r>
      </text>
    </comment>
    <comment ref="A144" authorId="0" shapeId="0">
      <text>
        <r>
          <rPr>
            <sz val="9"/>
            <color indexed="81"/>
            <rFont val="Tahoma"/>
            <family val="2"/>
            <charset val="204"/>
          </rPr>
          <t>Мука пшеничня в/с, сахар, яйцо, масло сливочное, творог</t>
        </r>
      </text>
    </comment>
    <comment ref="A145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масло сливочное, филе куриной грудки, картофель, лук, масло подсолнечное, соль.</t>
        </r>
      </text>
    </comment>
    <comment ref="A146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молоко, сахар, масло подсолнечное, яйцо, сосиска молочная ГОСТ</t>
        </r>
      </text>
    </comment>
    <comment ref="A147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пшеничная, меланж, говядина, филе куриной грудки, лук репчатый, масло подсолнечное, соль, перец черный</t>
        </r>
      </text>
    </comment>
    <comment ref="A148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яйцо, сыр,</t>
        </r>
      </text>
    </comment>
    <comment ref="A149" authorId="0" shapeId="0">
      <text>
        <r>
          <rPr>
            <sz val="9"/>
            <color indexed="81"/>
            <rFont val="Tahoma"/>
            <family val="2"/>
            <charset val="204"/>
          </rPr>
          <t>Мука в/с, вода, маргарин, яйцо, соль, лук репчатый,  курица,</t>
        </r>
      </text>
    </comment>
    <comment ref="A150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молоко, яйцо, говядина, свинина, лук, масло подсолнечное, соль, перец черный</t>
        </r>
      </text>
    </comment>
    <comment ref="A151" authorId="0" shapeId="0">
      <text>
        <r>
          <rPr>
            <sz val="9"/>
            <color indexed="81"/>
            <rFont val="Tahoma"/>
            <family val="2"/>
            <charset val="204"/>
          </rPr>
          <t>Тесто, яблоки, сахар, корица, яйцо</t>
        </r>
      </text>
    </comment>
    <comment ref="A163" authorId="0" shapeId="0">
      <text>
        <r>
          <rPr>
            <sz val="9"/>
            <color indexed="81"/>
            <rFont val="Tahoma"/>
            <family val="2"/>
            <charset val="204"/>
          </rPr>
          <t>Яблоко, вишня,  вода, сахар, лимон</t>
        </r>
      </text>
    </comment>
    <comment ref="A164" authorId="0" shapeId="0">
      <text>
        <r>
          <rPr>
            <sz val="9"/>
            <color indexed="81"/>
            <rFont val="Tahoma"/>
            <family val="2"/>
            <charset val="204"/>
          </rPr>
          <t>Яблоко, вишня,  вода, сахар, лимон</t>
        </r>
      </text>
    </comment>
    <comment ref="A165" authorId="0" shapeId="0">
      <text>
        <r>
          <rPr>
            <sz val="9"/>
            <color indexed="81"/>
            <rFont val="Tahoma"/>
            <family val="2"/>
            <charset val="204"/>
          </rPr>
          <t>Курага, чернослив, изюм,  вода, сахар, лимон</t>
        </r>
      </text>
    </comment>
  </commentList>
</comments>
</file>

<file path=xl/comments5.xml><?xml version="1.0" encoding="utf-8"?>
<comments xmlns="http://schemas.openxmlformats.org/spreadsheetml/2006/main">
  <authors>
    <author>User987</author>
  </authors>
  <commentList>
    <comment ref="A10" authorId="0" shapeId="0">
      <text>
        <r>
          <rPr>
            <sz val="9"/>
            <color indexed="81"/>
            <rFont val="Tahoma"/>
            <family val="2"/>
            <charset val="204"/>
          </rPr>
          <t>Картофель, свекла, огурцы, горошек, морковь, лук, масло подсолнечное, специи</t>
        </r>
      </text>
    </comment>
    <comment ref="A11" authorId="0" shapeId="0">
      <text>
        <r>
          <rPr>
            <sz val="9"/>
            <color indexed="81"/>
            <rFont val="Tahoma"/>
            <family val="2"/>
            <charset val="204"/>
          </rPr>
          <t>Свекла, капуста квашеная, горошек, огурцы маринованные, морковь, масло подсолнечное, укроп, лук, соль</t>
        </r>
      </text>
    </comment>
    <comment ref="A12" authorId="0" shapeId="0">
      <text>
        <r>
          <rPr>
            <sz val="9"/>
            <color indexed="81"/>
            <rFont val="Tahoma"/>
            <family val="2"/>
            <charset val="204"/>
          </rPr>
          <t>Морковь, масло подсолнечное, сахар, уксус, соль, чеснок, перец, кунжут, кориандр</t>
        </r>
      </text>
    </comment>
    <comment ref="A13" authorId="0" shapeId="0">
      <text>
        <r>
          <rPr>
            <sz val="9"/>
            <color indexed="81"/>
            <rFont val="Tahoma"/>
            <family val="2"/>
            <charset val="204"/>
          </rPr>
          <t>Куриная грудка, ветчина из индейки, молоко, огурцы, яйцо, майонез</t>
        </r>
      </text>
    </comment>
    <comment ref="A14" authorId="0" shapeId="0">
      <text>
        <r>
          <rPr>
            <sz val="9"/>
            <color indexed="81"/>
            <rFont val="Tahoma"/>
            <family val="2"/>
            <charset val="204"/>
          </rPr>
          <t>Картофель, горбуша, сайра, морковь, сыр, яйцо, майонез</t>
        </r>
      </text>
    </comment>
    <comment ref="A15" authorId="0" shapeId="0">
      <text>
        <r>
          <rPr>
            <sz val="9"/>
            <color indexed="81"/>
            <rFont val="Tahoma"/>
            <family val="2"/>
            <charset val="204"/>
          </rPr>
          <t>Капуста пекинская, грудка куриная, яблоки, сельдерей, майонез, лимонная заправка</t>
        </r>
      </text>
    </comment>
    <comment ref="A16" authorId="0" shapeId="0">
      <text>
        <r>
          <rPr>
            <sz val="9"/>
            <color indexed="81"/>
            <rFont val="Tahoma"/>
            <family val="2"/>
            <charset val="204"/>
          </rPr>
          <t>Рис, крабовые палочки, кукуруза, морковь, огурцы, яйцо, майонез, специи</t>
        </r>
      </text>
    </comment>
    <comment ref="A17" authorId="0" shapeId="0">
      <text>
        <r>
          <rPr>
            <sz val="9"/>
            <color indexed="81"/>
            <rFont val="Tahoma"/>
            <family val="2"/>
            <charset val="204"/>
          </rPr>
          <t>Картофель, морковь, колбаса, яйцо, горошек, майонез, специи</t>
        </r>
      </text>
    </comment>
    <comment ref="A18" authorId="0" shapeId="0">
      <text>
        <r>
          <rPr>
            <sz val="9"/>
            <color indexed="81"/>
            <rFont val="Tahoma"/>
            <family val="2"/>
            <charset val="204"/>
          </rPr>
          <t>Сельдь филе, картофель, морковь, свекла, майонез, специи</t>
        </r>
      </text>
    </comment>
    <comment ref="A19" authorId="0" shapeId="0">
      <text>
        <r>
          <rPr>
            <sz val="9"/>
            <color indexed="81"/>
            <rFont val="Tahoma"/>
            <family val="2"/>
            <charset val="204"/>
          </rPr>
          <t>Картофель, морковь, куриное филе, яйцо, горошек, майонез, специи</t>
        </r>
      </text>
    </comment>
    <comment ref="A20" authorId="0" shapeId="0">
      <text>
        <r>
          <rPr>
            <sz val="9"/>
            <color indexed="81"/>
            <rFont val="Tahoma"/>
            <family val="2"/>
            <charset val="204"/>
          </rPr>
          <t>Салат, помидоры, куриная грудка, сыр, гренки чесночные, майонез</t>
        </r>
      </text>
    </comment>
    <comment ref="A21" authorId="0" shapeId="0">
      <text>
        <r>
          <rPr>
            <sz val="9"/>
            <color indexed="81"/>
            <rFont val="Tahoma"/>
            <family val="2"/>
            <charset val="204"/>
          </rPr>
          <t>Свекла, чеснок, майонез, специи, зелень</t>
        </r>
      </text>
    </comment>
    <comment ref="A22" authorId="0" shapeId="0">
      <text>
        <r>
          <rPr>
            <sz val="9"/>
            <color indexed="81"/>
            <rFont val="Tahoma"/>
            <family val="2"/>
            <charset val="204"/>
          </rPr>
          <t>Салат, соус, помидоры, огурцы, сыр, перец болгарский, маслины, кунжут</t>
        </r>
      </text>
    </comment>
    <comment ref="A23" authorId="0" shapeId="0">
      <text>
        <r>
          <rPr>
            <sz val="9"/>
            <color indexed="81"/>
            <rFont val="Tahoma"/>
            <family val="2"/>
            <charset val="204"/>
          </rPr>
          <t>Салат, помидоры, куриная грудка, сыр, гренки чесночные, соус</t>
        </r>
      </text>
    </comment>
    <comment ref="A24" authorId="0" shapeId="0">
      <text>
        <r>
          <rPr>
            <sz val="9"/>
            <color indexed="81"/>
            <rFont val="Tahoma"/>
            <family val="2"/>
            <charset val="204"/>
          </rPr>
          <t>Картофель, горбуша, сайра, морковь, сыр, яйцо, майонез</t>
        </r>
      </text>
    </comment>
    <comment ref="A25" authorId="0" shapeId="0">
      <text>
        <r>
          <rPr>
            <sz val="9"/>
            <color indexed="81"/>
            <rFont val="Tahoma"/>
            <family val="2"/>
            <charset val="204"/>
          </rPr>
          <t>Картофель, морковь, куриное филе, яйцо, горошек, майонез, специи</t>
        </r>
      </text>
    </comment>
    <comment ref="A26" authorId="0" shapeId="0">
      <text>
        <r>
          <rPr>
            <sz val="9"/>
            <color indexed="81"/>
            <rFont val="Tahoma"/>
            <family val="2"/>
            <charset val="204"/>
          </rPr>
          <t>Сельдь филе, картофель, морковь, свекла, яйцо, майонез, специи</t>
        </r>
      </text>
    </comment>
    <comment ref="A27" authorId="0" shapeId="0">
      <text>
        <r>
          <rPr>
            <sz val="9"/>
            <color indexed="81"/>
            <rFont val="Tahoma"/>
            <family val="2"/>
            <charset val="204"/>
          </rPr>
          <t>Филе куриное, ананасы, яйцо, майонез</t>
        </r>
      </text>
    </comment>
    <comment ref="A28" authorId="0" shapeId="0">
      <text>
        <r>
          <rPr>
            <sz val="9"/>
            <color indexed="81"/>
            <rFont val="Tahoma"/>
            <family val="2"/>
            <charset val="204"/>
          </rPr>
          <t>Филе индейки, кукуруза, морковь, огурец, пекинская капуста, лук зеленый, укроп, сухарики, соус 1000 островов</t>
        </r>
      </text>
    </comment>
    <comment ref="A29" authorId="0" shapeId="0">
      <text>
        <r>
          <rPr>
            <sz val="9"/>
            <color indexed="81"/>
            <rFont val="Tahoma"/>
            <family val="2"/>
            <charset val="204"/>
          </rPr>
          <t>Лапша рисовая, огурцы, перец болгарский, морковь, петрушка, лук, чеснок, кунжут, соус</t>
        </r>
      </text>
    </comment>
    <comment ref="A30" authorId="0" shapeId="0">
      <text>
        <r>
          <rPr>
            <sz val="9"/>
            <color indexed="81"/>
            <rFont val="Tahoma"/>
            <family val="2"/>
            <charset val="204"/>
          </rPr>
          <t>Капуста, яблоки, морковь, масло подсолнечное, сахар, уксус, соль, укроп</t>
        </r>
      </text>
    </comment>
    <comment ref="A31" authorId="0" shapeId="0">
      <text>
        <r>
          <rPr>
            <sz val="9"/>
            <color indexed="81"/>
            <rFont val="Tahoma"/>
            <family val="2"/>
            <charset val="204"/>
          </rPr>
          <t>грдка куриная, майонез, чернослив, блины яичные, молоко, ананас, огурец, арахис</t>
        </r>
      </text>
    </comment>
    <comment ref="A36" authorId="0" shapeId="0">
      <text>
        <r>
          <rPr>
            <sz val="9"/>
            <color indexed="81"/>
            <rFont val="Tahoma"/>
            <family val="2"/>
            <charset val="204"/>
          </rPr>
          <t>Овсяные хлопья, молоко, сахар, масло сливочное, соль</t>
        </r>
      </text>
    </comment>
    <comment ref="A37" authorId="0" shapeId="0">
      <text>
        <r>
          <rPr>
            <sz val="9"/>
            <color indexed="81"/>
            <rFont val="Tahoma"/>
            <family val="2"/>
            <charset val="204"/>
          </rPr>
          <t>Пшено, молоко, сахар, масло сливочное, соль</t>
        </r>
      </text>
    </comment>
    <comment ref="A38" authorId="0" shapeId="0">
      <text>
        <r>
          <rPr>
            <sz val="9"/>
            <color indexed="81"/>
            <rFont val="Tahoma"/>
            <family val="2"/>
            <charset val="204"/>
          </rPr>
          <t>Рис, молоко, сахар, масло сливочное, соль</t>
        </r>
      </text>
    </comment>
    <comment ref="A39" authorId="0" shapeId="0">
      <text>
        <r>
          <rPr>
            <sz val="9"/>
            <color indexed="81"/>
            <rFont val="Tahoma"/>
            <family val="2"/>
            <charset val="204"/>
          </rPr>
          <t>молоко, крупа манная, сливки, изюм, вишня, яблоко, сахар, корица</t>
        </r>
      </text>
    </comment>
    <comment ref="A40" authorId="0" shapeId="0">
      <text>
        <r>
          <rPr>
            <sz val="9"/>
            <color indexed="81"/>
            <rFont val="Tahoma"/>
            <family val="2"/>
            <charset val="204"/>
          </rPr>
          <t>Творог, сахар, яйцо, крупа манная, ванилин, масло подсолнечное</t>
        </r>
      </text>
    </comment>
    <comment ref="A41" authorId="0" shapeId="0">
      <text>
        <r>
          <rPr>
            <sz val="9"/>
            <color indexed="81"/>
            <rFont val="Tahoma"/>
            <family val="2"/>
            <charset val="204"/>
          </rPr>
          <t>Молоко 3,2%, мука пшеничная, сыр, яйцо, масло подсолнечное, сахар, соль, майонез 67%, чеснок</t>
        </r>
      </text>
    </comment>
    <comment ref="A42" authorId="0" shapeId="0">
      <text>
        <r>
          <rPr>
            <sz val="9"/>
            <color indexed="81"/>
            <rFont val="Tahoma"/>
            <family val="2"/>
            <charset val="204"/>
          </rPr>
          <t>Молоко, сыр, яйцо, куриное филе, томаты, майонез, масло, лук, укроп, перец чёрный</t>
        </r>
      </text>
    </comment>
    <comment ref="A44" authorId="0" shapeId="0">
      <text>
        <r>
          <rPr>
            <sz val="9"/>
            <color indexed="81"/>
            <rFont val="Tahoma"/>
            <family val="2"/>
            <charset val="204"/>
          </rPr>
          <t>Яйцо куриное, филе куриной грудки, томаты, майонез 67%, масло подсолнечное, лук репчатый, укроп, соль, перец чёрный</t>
        </r>
      </text>
    </comment>
    <comment ref="A46" authorId="0" shapeId="0">
      <text>
        <r>
          <rPr>
            <sz val="9"/>
            <color indexed="81"/>
            <rFont val="Tahoma"/>
            <family val="2"/>
            <charset val="204"/>
          </rPr>
          <t>Капуста белокочанная, курица, картофель, морковь, лук, соль, перец черный</t>
        </r>
      </text>
    </comment>
    <comment ref="A47" authorId="0" shapeId="0">
      <text>
        <r>
          <rPr>
            <sz val="9"/>
            <color indexed="81"/>
            <rFont val="Tahoma"/>
            <family val="2"/>
            <charset val="204"/>
          </rPr>
          <t>Курица, картофель, лук, морковь, перец болгарский, масло растительное, рисовая лапша, грибы, специи</t>
        </r>
      </text>
    </comment>
    <comment ref="A49" authorId="0" shapeId="0">
      <text>
        <r>
          <rPr>
            <sz val="9"/>
            <color indexed="81"/>
            <rFont val="Tahoma"/>
            <family val="2"/>
            <charset val="204"/>
          </rPr>
          <t>Свинина, куриное филе, лук, картофель, капуста, масло подсолнечное, яйцо, петрушка, соль, чеснок, перец, макароны</t>
        </r>
      </text>
    </comment>
    <comment ref="A50" authorId="0" shapeId="0">
      <text>
        <r>
          <rPr>
            <sz val="9"/>
            <color indexed="81"/>
            <rFont val="Tahoma"/>
            <family val="2"/>
            <charset val="204"/>
          </rPr>
          <t>Филе куриной грудки, майонез , масло подсолнечное, соль, паприка</t>
        </r>
      </text>
    </comment>
    <comment ref="A51" authorId="0" shapeId="0">
      <text>
        <r>
          <rPr>
            <sz val="9"/>
            <color indexed="81"/>
            <rFont val="Tahoma"/>
            <family val="2"/>
            <charset val="204"/>
          </rPr>
          <t>Окорочка куриные, масло подсолнечное, соль, чеснок, паприка, кориандр.</t>
        </r>
      </text>
    </comment>
    <comment ref="A52" authorId="0" shapeId="0">
      <text>
        <r>
          <rPr>
            <sz val="9"/>
            <color indexed="81"/>
            <rFont val="Tahoma"/>
            <family val="2"/>
            <charset val="204"/>
          </rPr>
          <t>Крыло куриное, мука пшеничная в/с, масло подсолнечное, соль, сахар, специи.</t>
        </r>
      </text>
    </comment>
    <comment ref="A53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свинина, капуста, лук, масло подсолнечное, чеснок, соль, перец черный</t>
        </r>
      </text>
    </comment>
    <comment ref="A54" authorId="0" shapeId="0">
      <text>
        <r>
          <rPr>
            <sz val="9"/>
            <color indexed="81"/>
            <rFont val="Tahoma"/>
            <family val="2"/>
            <charset val="204"/>
          </rPr>
          <t>Филе куриное, гречка, сухари панировочные, лук репчатый, масло сливочное, масло подсолнечное, соль</t>
        </r>
      </text>
    </comment>
    <comment ref="A55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масло подсолнечное, картофель, шампиньоны, лук, соль</t>
        </r>
      </text>
    </comment>
    <comment ref="A56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пшеничная, творог, молоко, сливки, сахар, масло сливочное, соль, масло подсолнечное.</t>
        </r>
      </text>
    </comment>
    <comment ref="A57" authorId="0" shapeId="0">
      <text>
        <r>
          <rPr>
            <sz val="9"/>
            <color indexed="81"/>
            <rFont val="Tahoma"/>
            <family val="2"/>
            <charset val="204"/>
          </rPr>
          <t>Филе куриной грудки, картофель, молоко, сыр, грибы, майонез, специи</t>
        </r>
      </text>
    </comment>
    <comment ref="A58" authorId="0" shapeId="0">
      <text>
        <r>
          <rPr>
            <sz val="9"/>
            <color indexed="81"/>
            <rFont val="Tahoma"/>
            <family val="2"/>
            <charset val="204"/>
          </rPr>
          <t>Филе горбуши, яйцо, сухари панировочные, рис, кукуруза консервированная, горошек, морковь, перец болгарский, масло подсолнечное, специи</t>
        </r>
      </text>
    </comment>
    <comment ref="A59" authorId="0" shapeId="0">
      <text>
        <r>
          <rPr>
            <sz val="9"/>
            <color indexed="81"/>
            <rFont val="Tahoma"/>
            <family val="2"/>
            <charset val="204"/>
          </rPr>
          <t>Филе куриное, картофель, молоко, лук, специи</t>
        </r>
      </text>
    </comment>
    <comment ref="A60" authorId="0" shapeId="0">
      <text>
        <r>
          <rPr>
            <sz val="9"/>
            <color indexed="81"/>
            <rFont val="Tahoma"/>
            <family val="2"/>
            <charset val="204"/>
          </rPr>
          <t>Филе куриной грудки, картофель, молоко, сухари панировочные, яйцо, масло сливочное, чеснок, соль, укроп</t>
        </r>
      </text>
    </comment>
    <comment ref="A61" authorId="0" shapeId="0">
      <text>
        <r>
          <rPr>
            <sz val="9"/>
            <color indexed="81"/>
            <rFont val="Tahoma"/>
            <family val="2"/>
            <charset val="204"/>
          </rPr>
          <t>Филе индейки, филе куриной грудки, картофель, лук, сухари панировочные, яйцо, масло подсолнечное, соль, чеснок, перец черный</t>
        </r>
      </text>
    </comment>
    <comment ref="A62" authorId="0" shapeId="0">
      <text>
        <r>
          <rPr>
            <sz val="9"/>
            <color indexed="81"/>
            <rFont val="Tahoma"/>
            <family val="2"/>
            <charset val="204"/>
          </rPr>
          <t>куриная грудка,масло подсолнечное, лук, чеснок, специи	, спагетти</t>
        </r>
      </text>
    </comment>
    <comment ref="A63" authorId="0" shapeId="0">
      <text>
        <r>
          <rPr>
            <sz val="9"/>
            <color indexed="81"/>
            <rFont val="Tahoma"/>
            <family val="2"/>
            <charset val="204"/>
          </rPr>
          <t>Филе куриной грудки, сыр, картофель, молоко, яйцо, масло подсолнечное, соль</t>
        </r>
      </text>
    </comment>
    <comment ref="A64" authorId="0" shapeId="0">
      <text>
        <r>
          <rPr>
            <sz val="9"/>
            <color indexed="81"/>
            <rFont val="Tahoma"/>
            <family val="2"/>
            <charset val="204"/>
          </rPr>
          <t>Филе куриной грудки, гречка, шампиньоны, лук , масло подсолнечное, чеснок, соль, перец чёрный</t>
        </r>
      </text>
    </comment>
    <comment ref="A65" authorId="0" shapeId="0">
      <text>
        <r>
          <rPr>
            <sz val="9"/>
            <color indexed="81"/>
            <rFont val="Tahoma"/>
            <family val="2"/>
            <charset val="204"/>
          </rPr>
          <t>Лапша лагманная, куриная грудка, лук, помидоры, морковь, фасоль, перец болгарский, соль, петрушка, кориандр</t>
        </r>
      </text>
    </comment>
    <comment ref="A66" authorId="0" shapeId="0">
      <text>
        <r>
          <rPr>
            <sz val="9"/>
            <color indexed="81"/>
            <rFont val="Tahoma"/>
            <family val="2"/>
            <charset val="204"/>
          </rPr>
          <t>Говядина, курица, лук, соль, перец черный, яйцо, масло подсолнечное, сметана</t>
        </r>
      </text>
    </comment>
    <comment ref="A67" authorId="0" shapeId="0">
      <text>
        <r>
          <rPr>
            <sz val="9"/>
            <color indexed="81"/>
            <rFont val="Tahoma"/>
            <family val="2"/>
            <charset val="204"/>
          </rPr>
          <t>Говядина, курица, тыква, лук, соль, перец черный, яйцо, масло подсолнечное, сметана</t>
        </r>
      </text>
    </comment>
    <comment ref="A68" authorId="0" shapeId="0">
      <text>
        <r>
          <rPr>
            <sz val="9"/>
            <color indexed="81"/>
            <rFont val="Tahoma"/>
            <family val="2"/>
            <charset val="204"/>
          </rPr>
          <t>Свинина, шампиньоны, лук, сыр, картофель, молоко, майонез, специи</t>
        </r>
      </text>
    </comment>
    <comment ref="A69" authorId="0" shapeId="0">
      <text>
        <r>
          <rPr>
            <sz val="9"/>
            <color indexed="81"/>
            <rFont val="Tahoma"/>
            <family val="2"/>
            <charset val="204"/>
          </rPr>
          <t>Спагетти, лук репчатый, помидоры, говядина, свинина, перец болгарский, масло подсолнечное, томатная паста, чеснок, соль</t>
        </r>
      </text>
    </comment>
    <comment ref="A70" authorId="0" shapeId="0">
      <text>
        <r>
          <rPr>
            <sz val="9"/>
            <color indexed="81"/>
            <rFont val="Tahoma"/>
            <family val="2"/>
            <charset val="204"/>
          </rPr>
          <t>Спагетти, грудинка свиная, окорок свиной, лук, сыр, сливки, молоко, масло подсолнечное, соль</t>
        </r>
      </text>
    </comment>
    <comment ref="A71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яйцо куриное, масло подсолнечное, соль, куриная грудка, лук репчатый, говядина, перец чёрный</t>
        </r>
      </text>
    </comment>
    <comment ref="A72" authorId="0" shapeId="0">
      <text>
        <r>
          <rPr>
            <sz val="9"/>
            <color indexed="81"/>
            <rFont val="Tahoma"/>
            <family val="2"/>
            <charset val="204"/>
          </rPr>
          <t>Рис, филе куриной грудки, морковь, лук, масло подсолнечное, соль</t>
        </r>
      </text>
    </comment>
    <comment ref="A73" authorId="0" shapeId="0">
      <text>
        <r>
          <rPr>
            <sz val="9"/>
            <color indexed="81"/>
            <rFont val="Tahoma"/>
            <family val="2"/>
            <charset val="204"/>
          </rPr>
          <t>Рис, говядина, морковь, лук, масло подсолнечное, соль</t>
        </r>
      </text>
    </comment>
    <comment ref="A74" authorId="0" shapeId="0">
      <text>
        <r>
          <rPr>
            <sz val="9"/>
            <color indexed="81"/>
            <rFont val="Tahoma"/>
            <family val="2"/>
            <charset val="204"/>
          </rPr>
          <t>Сосиски, макароны, кетчуп</t>
        </r>
      </text>
    </comment>
    <comment ref="A75" authorId="0" shapeId="0">
      <text>
        <r>
          <rPr>
            <sz val="9"/>
            <color indexed="81"/>
            <rFont val="Tahoma"/>
            <family val="2"/>
            <charset val="204"/>
          </rPr>
          <t>Говядина, свинина, курица, лук, рис, морковь, яйцо, перец, картофель, молоко</t>
        </r>
      </text>
    </comment>
    <comment ref="A76" authorId="0" shapeId="0">
      <text>
        <r>
          <rPr>
            <sz val="9"/>
            <color indexed="81"/>
            <rFont val="Tahoma"/>
            <family val="2"/>
            <charset val="204"/>
          </rPr>
          <t>Филе минтая, яйцо, мука пшеничная в/с, сыр, масло подсолнечное, соль, картофель, молоко</t>
        </r>
      </text>
    </comment>
    <comment ref="A77" authorId="0" shapeId="0">
      <text>
        <r>
          <rPr>
            <sz val="9"/>
            <color indexed="81"/>
            <rFont val="Tahoma"/>
            <family val="2"/>
            <charset val="204"/>
          </rPr>
          <t>Филе куриной грудки, майонез , картофель, молоко, масло подсолнечное, паприка, чеснок, соль.</t>
        </r>
      </text>
    </comment>
    <comment ref="A78" authorId="0" shapeId="0">
      <text>
        <r>
          <rPr>
            <sz val="9"/>
            <color indexed="81"/>
            <rFont val="Tahoma"/>
            <family val="2"/>
            <charset val="204"/>
          </rPr>
          <t>Рис, филе куриной грудки, яйцо, морковь, брокколи, лук, перец болгарский, соус, чеснок, петрушка, кунжут</t>
        </r>
      </text>
    </comment>
    <comment ref="A79" authorId="0" shapeId="0">
      <text>
        <r>
          <rPr>
            <sz val="9"/>
            <color indexed="81"/>
            <rFont val="Tahoma"/>
            <family val="2"/>
            <charset val="204"/>
          </rPr>
          <t>колбаски баварские9 говядина, свинина), макароны, кетчуп, специи</t>
        </r>
      </text>
    </comment>
    <comment ref="A80" authorId="0" shapeId="0">
      <text>
        <r>
          <rPr>
            <sz val="9"/>
            <color indexed="81"/>
            <rFont val="Tahoma"/>
            <family val="2"/>
            <charset val="204"/>
          </rPr>
          <t>колбаски куриные, картофельное пюре, молко, сливки, масло сливочное, специи</t>
        </r>
      </text>
    </comment>
    <comment ref="A81" authorId="0" shapeId="0">
      <text>
        <r>
          <rPr>
            <sz val="9"/>
            <color indexed="81"/>
            <rFont val="Tahoma"/>
            <family val="2"/>
            <charset val="204"/>
          </rPr>
          <t>пенне, окорок свиной, свинина грудинка, лук, сливки, молоко, сыр</t>
        </r>
      </text>
    </comment>
    <comment ref="A82" authorId="0" shapeId="0">
      <text>
        <r>
          <rPr>
            <sz val="9"/>
            <color indexed="81"/>
            <rFont val="Tahoma"/>
            <family val="2"/>
            <charset val="204"/>
          </rPr>
          <t>говядина, свинина, лук, картофель, молоко, сливки</t>
        </r>
      </text>
    </comment>
    <comment ref="A83" authorId="0" shapeId="0">
      <text>
        <r>
          <rPr>
            <sz val="9"/>
            <color indexed="81"/>
            <rFont val="Tahoma"/>
            <family val="2"/>
            <charset val="204"/>
          </rPr>
          <t>говядина, свинина, лук, макароны, специи</t>
        </r>
      </text>
    </comment>
    <comment ref="A84" authorId="0" shapeId="0">
      <text>
        <r>
          <rPr>
            <sz val="9"/>
            <color indexed="81"/>
            <rFont val="Tahoma"/>
            <family val="2"/>
            <charset val="204"/>
          </rPr>
          <t>куриная грудка, рис, капуста краснокачанная, огурцы, томаты черри, специи</t>
        </r>
      </text>
    </comment>
    <comment ref="A85" authorId="0" shapeId="0">
      <text>
        <r>
          <rPr>
            <sz val="9"/>
            <color indexed="81"/>
            <rFont val="Tahoma"/>
            <family val="2"/>
            <charset val="204"/>
          </rPr>
          <t>рис, семга слабосоленая, сыр творожный, томаты черри, редис,огурцы, бобы эдамаме, специи</t>
        </r>
      </text>
    </comment>
    <comment ref="A86" authorId="0" shapeId="0">
      <text>
        <r>
          <rPr>
            <sz val="9"/>
            <color indexed="81"/>
            <rFont val="Tahoma"/>
            <family val="2"/>
            <charset val="204"/>
          </rPr>
          <t>рис, куриное филе, лук, морковь, огурцы, блин-омлет, специи</t>
        </r>
      </text>
    </comment>
    <comment ref="A87" authorId="0" shapeId="0">
      <text>
        <r>
          <rPr>
            <sz val="9"/>
            <color indexed="81"/>
            <rFont val="Tahoma"/>
            <family val="2"/>
            <charset val="204"/>
          </rPr>
          <t>филе горбуши, спагетти, лук, помидоры, морковь, соус Песто</t>
        </r>
      </text>
    </comment>
    <comment ref="A88" authorId="0" shapeId="0">
      <text>
        <r>
          <rPr>
            <sz val="9"/>
            <color indexed="81"/>
            <rFont val="Tahoma"/>
            <family val="2"/>
            <charset val="204"/>
          </rPr>
          <t>Картофель, говядина, морковь, перец болгарский, помидоры, лук, соль, перец черный</t>
        </r>
      </text>
    </comment>
    <comment ref="A89" authorId="0" shapeId="0">
      <text>
        <r>
          <rPr>
            <sz val="9"/>
            <color indexed="81"/>
            <rFont val="Tahoma"/>
            <family val="2"/>
            <charset val="204"/>
          </rPr>
          <t>курица, морковь, томаты, перец болгарский, картофель, капуста, лук, чеснок, укроп, петрушка, соль, масло подсолнечное</t>
        </r>
      </text>
    </comment>
    <comment ref="A90" authorId="0" shapeId="0">
      <text>
        <r>
          <rPr>
            <sz val="9"/>
            <color indexed="81"/>
            <rFont val="Tahoma"/>
            <family val="2"/>
            <charset val="204"/>
          </rPr>
          <t>Говядина, филе куриной грудки, рис, морковь, лук репчатый, картофель, масло подсолнечное, яйцо куриное, соль</t>
        </r>
      </text>
    </comment>
    <comment ref="A92" authorId="0" shapeId="0">
      <text>
        <r>
          <rPr>
            <sz val="9"/>
            <color indexed="81"/>
            <rFont val="Tahoma"/>
            <family val="2"/>
            <charset val="204"/>
          </rPr>
          <t>грудка куриная, спагети, сыр моцарелла, томаты, лук, перец болгарский, чеснок, масло растительное, специи</t>
        </r>
      </text>
    </comment>
    <comment ref="A93" authorId="0" shapeId="0">
      <text>
        <r>
          <rPr>
            <sz val="9"/>
            <color indexed="81"/>
            <rFont val="Tahoma"/>
            <family val="2"/>
            <charset val="204"/>
          </rPr>
          <t>Филе куриной грудки, сыр, яйцо,Рис, лук, морковь, масло подсолнечное, соль</t>
        </r>
      </text>
    </comment>
    <comment ref="A94" authorId="0" shapeId="0">
      <text>
        <r>
          <rPr>
            <sz val="9"/>
            <color indexed="81"/>
            <rFont val="Tahoma"/>
            <family val="2"/>
            <charset val="204"/>
          </rPr>
          <t>Картофель, филе куриной грудки, кетчуп, майонез, соль, паприка</t>
        </r>
      </text>
    </comment>
    <comment ref="A97" authorId="0" shapeId="0">
      <text>
        <r>
          <rPr>
            <sz val="9"/>
            <color indexed="81"/>
            <rFont val="Tahoma"/>
            <family val="2"/>
            <charset val="204"/>
          </rPr>
          <t>Гречневая каша, шампиньоны, зелень</t>
        </r>
      </text>
    </comment>
    <comment ref="A98" authorId="0" shapeId="0">
      <text>
        <r>
          <rPr>
            <sz val="9"/>
            <color indexed="81"/>
            <rFont val="Tahoma"/>
            <family val="2"/>
            <charset val="204"/>
          </rPr>
          <t>Рис, лук, морковь, масло подсолнечное, соль</t>
        </r>
      </text>
    </comment>
    <comment ref="A99" authorId="0" shapeId="0">
      <text>
        <r>
          <rPr>
            <sz val="9"/>
            <color indexed="81"/>
            <rFont val="Tahoma"/>
            <family val="2"/>
            <charset val="204"/>
          </rPr>
          <t>Спагетти, масло подсолнечное, специи</t>
        </r>
      </text>
    </comment>
    <comment ref="A100" authorId="0" shapeId="0">
      <text>
        <r>
          <rPr>
            <sz val="9"/>
            <color indexed="81"/>
            <rFont val="Tahoma"/>
            <family val="2"/>
            <charset val="204"/>
          </rPr>
          <t>Капуста, масло подсолнечное, лук, морковь, специи</t>
        </r>
      </text>
    </comment>
    <comment ref="A102" authorId="0" shapeId="0">
      <text>
        <r>
          <rPr>
            <sz val="9"/>
            <color indexed="81"/>
            <rFont val="Tahoma"/>
            <family val="2"/>
            <charset val="204"/>
          </rPr>
          <t>Мука в/с, молоко, масло подсолнечное, яйцо, сахар, соль</t>
        </r>
      </text>
    </comment>
    <comment ref="A107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яйцо, молоко, сахар, масло подсолнечное, соль, куриная грудка, лук репчатый, шампиньоны свежие, соус "Бешамель", перец чёрный, сыр "Чечел"</t>
        </r>
      </text>
    </comment>
    <comment ref="A108" authorId="0" shapeId="0">
      <text>
        <r>
          <rPr>
            <sz val="9"/>
            <color indexed="81"/>
            <rFont val="Tahoma"/>
            <family val="2"/>
            <charset val="204"/>
          </rPr>
          <t>Мука в/с, молоко, масло подсолнечное, яйца, сахар, соль, ветчина, сыр, яйцо, сухари панировочные</t>
        </r>
      </text>
    </comment>
    <comment ref="A109" authorId="0" shapeId="0">
      <text>
        <r>
          <rPr>
            <sz val="9"/>
            <color indexed="81"/>
            <rFont val="Tahoma"/>
            <family val="2"/>
            <charset val="204"/>
          </rPr>
          <t>Мука в/с, молоко, яйцо, сливочное масло, сахар, дрожжи, соль, свинина, говядина, лук</t>
        </r>
      </text>
    </comment>
    <comment ref="A110" authorId="0" shapeId="0">
      <text>
        <r>
          <rPr>
            <sz val="9"/>
            <color indexed="81"/>
            <rFont val="Tahoma"/>
            <family val="2"/>
            <charset val="204"/>
          </rPr>
          <t>Мука в/с, молоко, яйцо, масло сливочное, сахар, дрожжи, соль, творог 9%, сахар</t>
        </r>
      </text>
    </comment>
    <comment ref="A111" authorId="0" shapeId="0">
      <text>
        <r>
          <rPr>
            <sz val="9"/>
            <color indexed="81"/>
            <rFont val="Tahoma"/>
            <family val="2"/>
            <charset val="204"/>
          </rPr>
          <t>мука, сливки, молоко, масло сливочное, курица, лук, соль</t>
        </r>
      </text>
    </comment>
    <comment ref="A112" authorId="0" shapeId="0">
      <text>
        <r>
          <rPr>
            <sz val="9"/>
            <color indexed="81"/>
            <rFont val="Tahoma"/>
            <family val="2"/>
            <charset val="204"/>
          </rPr>
          <t>Мука в/с, молоко, яйцо, масло сливочное, дрожжи, соль, яблоки, сахар</t>
        </r>
      </text>
    </comment>
    <comment ref="A114" authorId="0" shapeId="0">
      <text>
        <r>
          <rPr>
            <sz val="9"/>
            <color indexed="81"/>
            <rFont val="Tahoma"/>
            <family val="2"/>
            <charset val="204"/>
          </rPr>
          <t>Лаваш, ветчина, сыр, огурцы, салат</t>
        </r>
      </text>
    </comment>
    <comment ref="A115" authorId="0" shapeId="0">
      <text>
        <r>
          <rPr>
            <sz val="9"/>
            <color indexed="81"/>
            <rFont val="Tahoma"/>
            <family val="2"/>
            <charset val="204"/>
          </rPr>
          <t>Лаваш, куриная грудка, сыр, помидоры, соус, салат</t>
        </r>
      </text>
    </comment>
    <comment ref="A116" authorId="0" shapeId="0">
      <text>
        <r>
          <rPr>
            <sz val="9"/>
            <color indexed="81"/>
            <rFont val="Tahoma"/>
            <family val="2"/>
            <charset val="204"/>
          </rPr>
          <t>Лаваш, лосось пряного посола, блин яичный, помидоры, капуста пекинская, масло сливочное</t>
        </r>
      </text>
    </comment>
    <comment ref="A117" authorId="0" shapeId="0">
      <text>
        <r>
          <rPr>
            <sz val="9"/>
            <color indexed="81"/>
            <rFont val="Tahoma"/>
            <family val="2"/>
            <charset val="204"/>
          </rPr>
          <t>Лаваш, наггетсы куриные, хашбраун картофельный, огурцы, соус</t>
        </r>
      </text>
    </comment>
    <comment ref="A118" authorId="0" shapeId="0">
      <text>
        <r>
          <rPr>
            <sz val="9"/>
            <color indexed="81"/>
            <rFont val="Tahoma"/>
            <family val="2"/>
            <charset val="204"/>
          </rPr>
          <t>Лаваш, филе куриное, капуста б/к, томаты, огурцы маринованные, соль, чеснок, перец, яйцо, соус</t>
        </r>
      </text>
    </comment>
    <comment ref="A120" authorId="0" shapeId="0">
      <text>
        <r>
          <rPr>
            <sz val="9"/>
            <color indexed="81"/>
            <rFont val="Tahoma"/>
            <family val="2"/>
            <charset val="204"/>
          </rPr>
          <t>Тортилья, сыр, ветчина, салат Айсберг, томаты.</t>
        </r>
      </text>
    </comment>
    <comment ref="A121" authorId="0" shapeId="0">
      <text>
        <r>
          <rPr>
            <sz val="9"/>
            <color indexed="81"/>
            <rFont val="Tahoma"/>
            <family val="2"/>
            <charset val="204"/>
          </rPr>
          <t>Багет пшеничный, буженина, соус пикантный, томаты, капуста пекинская</t>
        </r>
      </text>
    </comment>
    <comment ref="A122" authorId="0" shapeId="0">
      <text>
        <r>
          <rPr>
            <sz val="9"/>
            <color indexed="81"/>
            <rFont val="Tahoma"/>
            <family val="2"/>
            <charset val="204"/>
          </rPr>
          <t>Багет пшеничный, ветчина, капуста, соус, специи</t>
        </r>
      </text>
    </comment>
    <comment ref="A123" authorId="0" shapeId="0">
      <text>
        <r>
          <rPr>
            <sz val="9"/>
            <color indexed="81"/>
            <rFont val="Tahoma"/>
            <family val="2"/>
            <charset val="204"/>
          </rPr>
          <t>Багет пшеничный, куриное филе, капуста, соус</t>
        </r>
      </text>
    </comment>
    <comment ref="A124" authorId="0" shapeId="0">
      <text>
        <r>
          <rPr>
            <sz val="9"/>
            <color indexed="81"/>
            <rFont val="Tahoma"/>
            <family val="2"/>
            <charset val="204"/>
          </rPr>
          <t>Багет пшеничный, рулет куриный, огурец маринованный, капуста пекинская, соус</t>
        </r>
      </text>
    </comment>
    <comment ref="A125" authorId="0" shapeId="0">
      <text>
        <r>
          <rPr>
            <sz val="9"/>
            <color indexed="81"/>
            <rFont val="Tahoma"/>
            <family val="2"/>
            <charset val="204"/>
          </rPr>
          <t>Багет пшеничный, рулет из индейки, сыр, пекинская капуста, соус</t>
        </r>
      </text>
    </comment>
    <comment ref="A126" authorId="0" shapeId="0">
      <text>
        <r>
          <rPr>
            <sz val="9"/>
            <color indexed="81"/>
            <rFont val="Tahoma"/>
            <family val="2"/>
            <charset val="204"/>
          </rPr>
          <t>Багет пшеничный, ветчина, сыр, огурцы маринованные, капуста пекинская, соус</t>
        </r>
      </text>
    </comment>
    <comment ref="A127" authorId="0" shapeId="0">
      <text>
        <r>
          <rPr>
            <sz val="9"/>
            <color indexed="81"/>
            <rFont val="Tahoma"/>
            <family val="2"/>
            <charset val="204"/>
          </rPr>
          <t>Хлеб пшеничный, куриное филе, капуста пекинская, лук, майонез, хрен											¶</t>
        </r>
      </text>
    </comment>
    <comment ref="A128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масло подсолнечное, лосось солёный, томаты, сыр творожный, салат Айсберг, соус.</t>
        </r>
      </text>
    </comment>
    <comment ref="A129" authorId="0" shapeId="0">
      <text>
        <r>
          <rPr>
            <sz val="9"/>
            <color indexed="81"/>
            <rFont val="Tahoma"/>
            <family val="2"/>
            <charset val="204"/>
          </rPr>
          <t>Хлеб тостовый, ветчина, соус, сыр, огурцы маринованные, салат</t>
        </r>
      </text>
    </comment>
    <comment ref="A130" authorId="0" shapeId="0">
      <text>
        <r>
          <rPr>
            <sz val="9"/>
            <color indexed="81"/>
            <rFont val="Tahoma"/>
            <family val="2"/>
            <charset val="204"/>
          </rPr>
          <t>Хлеб, куриное филе в/к, бекон в/к, томаты, соус "Цезарь", салат</t>
        </r>
      </text>
    </comment>
    <comment ref="A131" authorId="0" shapeId="0">
      <text>
        <r>
          <rPr>
            <sz val="9"/>
            <color indexed="81"/>
            <rFont val="Tahoma"/>
            <family val="2"/>
            <charset val="204"/>
          </rPr>
          <t>Хлеб тостовый, семга соленая, соус зеленый, помидоры, салат "Айсберг"</t>
        </r>
      </text>
    </comment>
    <comment ref="A132" authorId="0" shapeId="0">
      <text>
        <r>
          <rPr>
            <sz val="9"/>
            <color indexed="81"/>
            <rFont val="Tahoma"/>
            <family val="2"/>
            <charset val="204"/>
          </rPr>
          <t>Куриное филе, томаты, капуста, огурцы, морковь, соус</t>
        </r>
      </text>
    </comment>
    <comment ref="A133" authorId="0" shapeId="0">
      <text>
        <r>
          <rPr>
            <sz val="9"/>
            <color indexed="81"/>
            <rFont val="Tahoma"/>
            <family val="2"/>
            <charset val="204"/>
          </rPr>
          <t>Кунжут, говядина, курица, лук, помидоры, салат, майонез, специи</t>
        </r>
      </text>
    </comment>
    <comment ref="A134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масло подсолнечное, кунжут, филе куриной грудки, лук, яйцо куриное, майонез, томаты, огурцы маринованные, салат Айсбер, лук красный.</t>
        </r>
      </text>
    </comment>
    <comment ref="A135" authorId="0" shapeId="0">
      <text>
        <r>
          <rPr>
            <sz val="9"/>
            <color indexed="81"/>
            <rFont val="Tahoma"/>
            <family val="2"/>
            <charset val="204"/>
          </rPr>
          <t>ветчина из индейки, сыр Моцарелла, томаты, лук, морковь, перец, соль, масло растительное</t>
        </r>
      </text>
    </comment>
    <comment ref="A137" authorId="0" shapeId="0">
      <text>
        <r>
          <rPr>
            <sz val="9"/>
            <color indexed="81"/>
            <rFont val="Tahoma"/>
            <family val="2"/>
            <charset val="204"/>
          </rPr>
          <t>лепешка тортилья, филе индейки, помидоры, перец болгарский, фасоль стручковая, лук, сыр, специи</t>
        </r>
      </text>
    </comment>
    <comment ref="A139" authorId="0" shapeId="0">
      <text>
        <r>
          <rPr>
            <sz val="9"/>
            <color indexed="81"/>
            <rFont val="Tahoma"/>
            <family val="2"/>
            <charset val="204"/>
          </rPr>
          <t>Тесто, курага, яблоки, сахар, кунжут, яйцо</t>
        </r>
      </text>
    </comment>
    <comment ref="A140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яйцо, капуста, лук, масло подсолнечное</t>
        </r>
      </text>
    </comment>
    <comment ref="A141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молоко, яйцо, говядина, свинина, лук, масло подсолнечное, соль, перец черный</t>
        </r>
      </text>
    </comment>
    <comment ref="A142" authorId="0" shapeId="0">
      <text>
        <r>
          <rPr>
            <sz val="9"/>
            <color indexed="81"/>
            <rFont val="Tahoma"/>
            <family val="2"/>
            <charset val="204"/>
          </rPr>
          <t>Тесто, яблоки, сахар, корица, яйцо</t>
        </r>
      </text>
    </comment>
    <comment ref="A143" authorId="0" shapeId="0">
      <text>
        <r>
          <rPr>
            <sz val="9"/>
            <color indexed="81"/>
            <rFont val="Tahoma"/>
            <family val="2"/>
            <charset val="204"/>
          </rPr>
          <t>Мука в/с, молоко, яйцо, сахар, дрожжи, соль, лук, специи</t>
        </r>
      </text>
    </comment>
    <comment ref="A144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масло подсолнечное, шпинат, укроп, петрушка, брынза, сыр, лук, соль</t>
        </r>
      </text>
    </comment>
    <comment ref="A145" authorId="0" shapeId="0">
      <text>
        <r>
          <rPr>
            <sz val="9"/>
            <color indexed="81"/>
            <rFont val="Tahoma"/>
            <family val="2"/>
            <charset val="204"/>
          </rPr>
          <t>Мука в/с, сахар, маргарин, яйцо, дрожжи, соль, мак, молоко</t>
        </r>
      </text>
    </comment>
    <comment ref="A146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молоко, маргарин, яйцо, вишня, сахар</t>
        </r>
      </text>
    </comment>
    <comment ref="A147" authorId="0" shapeId="0">
      <text>
        <r>
          <rPr>
            <sz val="9"/>
            <color indexed="81"/>
            <rFont val="Tahoma"/>
            <family val="2"/>
            <charset val="204"/>
          </rPr>
          <t>Мука пшеничня в/с, сахар, яйцо, масло сливочное, творог</t>
        </r>
      </text>
    </comment>
    <comment ref="A148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молоко, сахар, масло подсолнечное, яйцо, сосиска молочная ГОСТ</t>
        </r>
      </text>
    </comment>
    <comment ref="A149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масло сливочное, филе куриной грудки, картофель, лук, масло подсолнечное, соль.</t>
        </r>
      </text>
    </comment>
    <comment ref="A150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яйцо, сыр,</t>
        </r>
      </text>
    </comment>
    <comment ref="A151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пшеничная, меланж, говядина, филе куриной грудки, лук репчатый, масло подсолнечное, соль, перец черный</t>
        </r>
      </text>
    </comment>
    <comment ref="A152" authorId="0" shapeId="0">
      <text>
        <r>
          <rPr>
            <sz val="9"/>
            <color indexed="81"/>
            <rFont val="Tahoma"/>
            <family val="2"/>
            <charset val="204"/>
          </rPr>
          <t>Мука в/с, вода, маргарин, яйцо, соль, лук репчатый,  курица,</t>
        </r>
      </text>
    </comment>
    <comment ref="A153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молоко, яйцо, говядина, свинина, лук, масло подсолнечное, соль, перец черный</t>
        </r>
      </text>
    </comment>
    <comment ref="A154" authorId="0" shapeId="0">
      <text>
        <r>
          <rPr>
            <sz val="9"/>
            <color indexed="81"/>
            <rFont val="Tahoma"/>
            <family val="2"/>
            <charset val="204"/>
          </rPr>
          <t>Тесто, яблоки, сахар, корица, яйцо</t>
        </r>
      </text>
    </comment>
    <comment ref="A163" authorId="0" shapeId="0">
      <text>
        <r>
          <rPr>
            <sz val="9"/>
            <color indexed="81"/>
            <rFont val="Tahoma"/>
            <family val="2"/>
            <charset val="204"/>
          </rPr>
          <t>Какао-порошок, молоко, вода, сахар</t>
        </r>
      </text>
    </comment>
    <comment ref="A166" authorId="0" shapeId="0">
      <text>
        <r>
          <rPr>
            <sz val="9"/>
            <color indexed="81"/>
            <rFont val="Tahoma"/>
            <family val="2"/>
            <charset val="204"/>
          </rPr>
          <t>Яблоко, вишня,  вода, сахар, лимон</t>
        </r>
      </text>
    </comment>
    <comment ref="A167" authorId="0" shapeId="0">
      <text>
        <r>
          <rPr>
            <sz val="9"/>
            <color indexed="81"/>
            <rFont val="Tahoma"/>
            <family val="2"/>
            <charset val="204"/>
          </rPr>
          <t>Яблоко, вишня,  вода, сахар, лимон</t>
        </r>
      </text>
    </comment>
  </commentList>
</comments>
</file>

<file path=xl/comments6.xml><?xml version="1.0" encoding="utf-8"?>
<comments xmlns="http://schemas.openxmlformats.org/spreadsheetml/2006/main">
  <authors>
    <author>User987</author>
  </authors>
  <commentList>
    <comment ref="A10" authorId="0" shapeId="0">
      <text>
        <r>
          <rPr>
            <sz val="9"/>
            <color indexed="81"/>
            <rFont val="Tahoma"/>
            <family val="2"/>
            <charset val="204"/>
          </rPr>
          <t>Свекла, капуста квашеная, горошек, огурцы маринованные, морковь, масло подсолнечное, укроп, лук, соль</t>
        </r>
      </text>
    </comment>
    <comment ref="A11" authorId="0" shapeId="0">
      <text>
        <r>
          <rPr>
            <sz val="9"/>
            <color indexed="81"/>
            <rFont val="Tahoma"/>
            <family val="2"/>
            <charset val="204"/>
          </rPr>
          <t>Свекла, чеснок, майонез, специи, зелень</t>
        </r>
      </text>
    </comment>
    <comment ref="A12" authorId="0" shapeId="0">
      <text>
        <r>
          <rPr>
            <sz val="9"/>
            <color indexed="81"/>
            <rFont val="Tahoma"/>
            <family val="2"/>
            <charset val="204"/>
          </rPr>
          <t>Картофель, морковь, куриное филе, яйцо, горошек, майонез, специи</t>
        </r>
      </text>
    </comment>
    <comment ref="A13" authorId="0" shapeId="0">
      <text>
        <r>
          <rPr>
            <sz val="9"/>
            <color indexed="81"/>
            <rFont val="Tahoma"/>
            <family val="2"/>
            <charset val="204"/>
          </rPr>
          <t>Помидоры, лук зеленый, укроп, масло подсолнечное</t>
        </r>
      </text>
    </comment>
    <comment ref="A14" authorId="0" shapeId="0">
      <text>
        <r>
          <rPr>
            <sz val="9"/>
            <color indexed="81"/>
            <rFont val="Tahoma"/>
            <family val="2"/>
            <charset val="204"/>
          </rPr>
          <t>Куриная грудка, ветчина из индейки, молоко, огурцы, яйцо, майонез</t>
        </r>
      </text>
    </comment>
    <comment ref="A15" authorId="0" shapeId="0">
      <text>
        <r>
          <rPr>
            <sz val="9"/>
            <color indexed="81"/>
            <rFont val="Tahoma"/>
            <family val="2"/>
            <charset val="204"/>
          </rPr>
          <t>Картофель, горбуша, сайра, морковь, сыр, яйцо, майонез</t>
        </r>
      </text>
    </comment>
    <comment ref="A16" authorId="0" shapeId="0">
      <text>
        <r>
          <rPr>
            <sz val="9"/>
            <color indexed="81"/>
            <rFont val="Tahoma"/>
            <family val="2"/>
            <charset val="204"/>
          </rPr>
          <t>Рис, крабовые палочки, кукуруза, морковь, огурцы, яйцо, майонез, специи</t>
        </r>
      </text>
    </comment>
    <comment ref="A17" authorId="0" shapeId="0">
      <text>
        <r>
          <rPr>
            <sz val="9"/>
            <color indexed="81"/>
            <rFont val="Tahoma"/>
            <family val="2"/>
            <charset val="204"/>
          </rPr>
          <t>Салат, помидоры, куриная грудка, сыр, гренки чесночные, майонез</t>
        </r>
      </text>
    </comment>
    <comment ref="A18" authorId="0" shapeId="0">
      <text>
        <r>
          <rPr>
            <sz val="9"/>
            <color indexed="81"/>
            <rFont val="Tahoma"/>
            <family val="2"/>
            <charset val="204"/>
          </rPr>
          <t>Филе курицы, капуста пекинская, помидоры, огурцы, сухари, майонез, специи</t>
        </r>
      </text>
    </comment>
    <comment ref="A19" authorId="0" shapeId="0">
      <text>
        <r>
          <rPr>
            <sz val="9"/>
            <color indexed="81"/>
            <rFont val="Tahoma"/>
            <family val="2"/>
            <charset val="204"/>
          </rPr>
          <t>Капуста пекинская, помидоры, огурцы, морковь, укроп, масло подсолнечное</t>
        </r>
      </text>
    </comment>
    <comment ref="A20" authorId="0" shapeId="0">
      <text>
        <r>
          <rPr>
            <sz val="9"/>
            <color indexed="81"/>
            <rFont val="Tahoma"/>
            <family val="2"/>
            <charset val="204"/>
          </rPr>
          <t>Салат, соус, помидоры, огурцы, сыр, перец болгарский, маслины, кунжут</t>
        </r>
      </text>
    </comment>
    <comment ref="A21" authorId="0" shapeId="0">
      <text>
        <r>
          <rPr>
            <sz val="9"/>
            <color indexed="81"/>
            <rFont val="Tahoma"/>
            <family val="2"/>
            <charset val="204"/>
          </rPr>
          <t>Салат, помидоры, куриная грудка, сыр, гренки чесночные, соус</t>
        </r>
      </text>
    </comment>
    <comment ref="A24" authorId="0" shapeId="0">
      <text>
        <r>
          <rPr>
            <sz val="9"/>
            <color indexed="81"/>
            <rFont val="Tahoma"/>
            <family val="2"/>
            <charset val="204"/>
          </rPr>
          <t>Овсяные хлопья, молоко, сахар, масло сливочное, соль</t>
        </r>
      </text>
    </comment>
    <comment ref="A25" authorId="0" shapeId="0">
      <text>
        <r>
          <rPr>
            <sz val="9"/>
            <color indexed="81"/>
            <rFont val="Tahoma"/>
            <family val="2"/>
            <charset val="204"/>
          </rPr>
          <t>Творог, сахар, яйцо, крупа манная, ванилин, масло подсолнечное</t>
        </r>
      </text>
    </comment>
    <comment ref="A26" authorId="0" shapeId="0">
      <text>
        <r>
          <rPr>
            <sz val="9"/>
            <color indexed="81"/>
            <rFont val="Tahoma"/>
            <family val="2"/>
            <charset val="204"/>
          </rPr>
          <t>Молоко 3,2%, мука пшеничная, сыр, яйцо, масло подсолнечное, сахар, соль, майонез 67%, чеснок</t>
        </r>
      </text>
    </comment>
    <comment ref="A27" authorId="0" shapeId="0">
      <text>
        <r>
          <rPr>
            <sz val="9"/>
            <color indexed="81"/>
            <rFont val="Tahoma"/>
            <family val="2"/>
            <charset val="204"/>
          </rPr>
          <t>Молоко, сыр, яйцо, куриное филе, томаты, майонез, масло, лук, укроп, перец чёрный</t>
        </r>
      </text>
    </comment>
    <comment ref="A29" authorId="0" shapeId="0">
      <text>
        <r>
          <rPr>
            <sz val="9"/>
            <color indexed="81"/>
            <rFont val="Tahoma"/>
            <family val="2"/>
            <charset val="204"/>
          </rPr>
          <t>Фарш смешанный, картофель, лук, морковь, помидор, болгарский перец, масло растительное</t>
        </r>
      </text>
    </comment>
    <comment ref="A30" authorId="0" shapeId="0">
      <text>
        <r>
          <rPr>
            <sz val="9"/>
            <color indexed="81"/>
            <rFont val="Tahoma"/>
            <family val="2"/>
            <charset val="204"/>
          </rPr>
          <t>Капуста белокочанная, говядина, картофель, морковь, лук репчатый</t>
        </r>
      </text>
    </comment>
    <comment ref="A32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масло подсолнечное, картофель, шампиньоны, лук, соль</t>
        </r>
      </text>
    </comment>
    <comment ref="A33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пшеничная, творог, молоко, сливки, сахар, масло сливочное, соль, масло подсолнечное.</t>
        </r>
      </text>
    </comment>
    <comment ref="A34" authorId="0" shapeId="0">
      <text>
        <r>
          <rPr>
            <sz val="9"/>
            <color indexed="81"/>
            <rFont val="Tahoma"/>
            <family val="2"/>
            <charset val="204"/>
          </rPr>
          <t>Филе куриное, гречка, сухари панировочные, лук репчатый, масло сливочное, масло подсолнечное, соль</t>
        </r>
      </text>
    </comment>
    <comment ref="A35" authorId="0" shapeId="0">
      <text>
        <r>
          <rPr>
            <sz val="9"/>
            <color indexed="81"/>
            <rFont val="Tahoma"/>
            <family val="2"/>
            <charset val="204"/>
          </rPr>
          <t>Филе куриной грудки, картофель, молоко, сыр, грибы, майонез, специи</t>
        </r>
      </text>
    </comment>
    <comment ref="A36" authorId="0" shapeId="0">
      <text>
        <r>
          <rPr>
            <sz val="9"/>
            <color indexed="81"/>
            <rFont val="Tahoma"/>
            <family val="2"/>
            <charset val="204"/>
          </rPr>
          <t>Филе куриное, картофель, молоко, лук, специи</t>
        </r>
      </text>
    </comment>
    <comment ref="A37" authorId="0" shapeId="0">
      <text>
        <r>
          <rPr>
            <sz val="9"/>
            <color indexed="81"/>
            <rFont val="Tahoma"/>
            <family val="2"/>
            <charset val="204"/>
          </rPr>
          <t>Филе куриной грудки, картофель, молоко, сухари панировочные, яйцо, масло сливочное, чеснок, соль, укроп</t>
        </r>
      </text>
    </comment>
    <comment ref="A38" authorId="0" shapeId="0">
      <text>
        <r>
          <rPr>
            <sz val="9"/>
            <color indexed="81"/>
            <rFont val="Tahoma"/>
            <family val="2"/>
            <charset val="204"/>
          </rPr>
          <t>Филе индейки, филе куриной грудки, картофель, лук, сухари панировочные, яйцо, масло подсолнечное, соль, чеснок, перец черный</t>
        </r>
      </text>
    </comment>
    <comment ref="A39" authorId="0" shapeId="0">
      <text>
        <r>
          <rPr>
            <sz val="9"/>
            <color indexed="81"/>
            <rFont val="Tahoma"/>
            <family val="2"/>
            <charset val="204"/>
          </rPr>
          <t>Филе куриной грудки, сыр, картофель, молоко, яйцо, масло подсолнечное, соль</t>
        </r>
      </text>
    </comment>
    <comment ref="A40" authorId="0" shapeId="0">
      <text>
        <r>
          <rPr>
            <sz val="9"/>
            <color indexed="81"/>
            <rFont val="Tahoma"/>
            <family val="2"/>
            <charset val="204"/>
          </rPr>
          <t>Филе куриной грудки, гречка, шампиньоны, лук , масло подсолнечное, чеснок, соль, перец чёрный</t>
        </r>
      </text>
    </comment>
    <comment ref="A41" authorId="0" shapeId="0">
      <text>
        <r>
          <rPr>
            <sz val="9"/>
            <color indexed="81"/>
            <rFont val="Tahoma"/>
            <family val="2"/>
            <charset val="204"/>
          </rPr>
          <t>Лапша лагманная, куриная грудка, лук, помидоры, морковь, фасоль, перец болгарский, соль, петрушка, кориандр</t>
        </r>
      </text>
    </comment>
    <comment ref="A42" authorId="0" shapeId="0">
      <text>
        <r>
          <rPr>
            <sz val="9"/>
            <color indexed="81"/>
            <rFont val="Tahoma"/>
            <family val="2"/>
            <charset val="204"/>
          </rPr>
          <t>Говядина, курица, лук, соль, перец черный, яйцо, масло подсолнечное, сметана</t>
        </r>
      </text>
    </comment>
    <comment ref="A43" authorId="0" shapeId="0">
      <text>
        <r>
          <rPr>
            <sz val="9"/>
            <color indexed="81"/>
            <rFont val="Tahoma"/>
            <family val="2"/>
            <charset val="204"/>
          </rPr>
          <t>Свинина, шампиньоны, лук, сыр, картофель, молоко, майонез, специи</t>
        </r>
      </text>
    </comment>
    <comment ref="A44" authorId="0" shapeId="0">
      <text>
        <r>
          <rPr>
            <sz val="9"/>
            <color indexed="81"/>
            <rFont val="Tahoma"/>
            <family val="2"/>
            <charset val="204"/>
          </rPr>
          <t>Спагетти, лук репчатый, помидоры, говядина, свинина, перец болгарский, масло подсолнечное, томатная паста, чеснок, соль</t>
        </r>
      </text>
    </comment>
    <comment ref="A45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свинина, капуста, лук, масло подсолнечное, чеснок, соль, перец черный</t>
        </r>
      </text>
    </comment>
    <comment ref="A46" authorId="0" shapeId="0">
      <text>
        <r>
          <rPr>
            <sz val="9"/>
            <color indexed="81"/>
            <rFont val="Tahoma"/>
            <family val="2"/>
            <charset val="204"/>
          </rPr>
          <t>Рис, филе куриной грудки, морковь, лук, масло подсолнечное, соль</t>
        </r>
      </text>
    </comment>
    <comment ref="A47" authorId="0" shapeId="0">
      <text>
        <r>
          <rPr>
            <sz val="9"/>
            <color indexed="81"/>
            <rFont val="Tahoma"/>
            <family val="2"/>
            <charset val="204"/>
          </rPr>
          <t>Рис, говядина, морковь, лук, масло подсолнечное, соль</t>
        </r>
      </text>
    </comment>
    <comment ref="A48" authorId="0" shapeId="0">
      <text>
        <r>
          <rPr>
            <sz val="9"/>
            <color indexed="81"/>
            <rFont val="Tahoma"/>
            <family val="2"/>
            <charset val="204"/>
          </rPr>
          <t>крылышки куриные, мука, картофель, молоко, масло сливочное, соль, масло подсолнечное, кетчуп</t>
        </r>
      </text>
    </comment>
    <comment ref="A49" authorId="0" shapeId="0">
      <text>
        <r>
          <rPr>
            <sz val="9"/>
            <color indexed="81"/>
            <rFont val="Tahoma"/>
            <family val="2"/>
            <charset val="204"/>
          </rPr>
          <t>Сосиски, макароны, кетчуп</t>
        </r>
      </text>
    </comment>
    <comment ref="A50" authorId="0" shapeId="0">
      <text>
        <r>
          <rPr>
            <sz val="9"/>
            <color indexed="81"/>
            <rFont val="Tahoma"/>
            <family val="2"/>
            <charset val="204"/>
          </rPr>
          <t>Говядина, свинина, курица, лук, рис, морковь, яйцо, перец, картофель, молоко</t>
        </r>
      </text>
    </comment>
    <comment ref="A51" authorId="0" shapeId="0">
      <text>
        <r>
          <rPr>
            <sz val="9"/>
            <color indexed="81"/>
            <rFont val="Tahoma"/>
            <family val="2"/>
            <charset val="204"/>
          </rPr>
          <t>Филе минтая, яйцо, мука пшеничная в/с, сыр, масло подсолнечное, соль, картофель, молоко</t>
        </r>
      </text>
    </comment>
    <comment ref="A52" authorId="0" shapeId="0">
      <text>
        <r>
          <rPr>
            <sz val="9"/>
            <color indexed="81"/>
            <rFont val="Tahoma"/>
            <family val="2"/>
            <charset val="204"/>
          </rPr>
          <t>Рис, филе куриной грудки, яйцо, морковь, брокколи, лук, перец болгарский, соус, чеснок, петрушка, кунжут</t>
        </r>
      </text>
    </comment>
    <comment ref="A54" authorId="0" shapeId="0">
      <text>
        <r>
          <rPr>
            <sz val="9"/>
            <color indexed="81"/>
            <rFont val="Tahoma"/>
            <family val="2"/>
            <charset val="204"/>
          </rPr>
          <t>Картофель, молоко, масло сливочное, специи</t>
        </r>
      </text>
    </comment>
    <comment ref="A55" authorId="0" shapeId="0">
      <text>
        <r>
          <rPr>
            <sz val="9"/>
            <color indexed="81"/>
            <rFont val="Tahoma"/>
            <family val="2"/>
            <charset val="204"/>
          </rPr>
          <t>Рис, лук, морковь, масло подсолнечное, соль</t>
        </r>
      </text>
    </comment>
    <comment ref="A56" authorId="0" shapeId="0">
      <text>
        <r>
          <rPr>
            <sz val="9"/>
            <color indexed="81"/>
            <rFont val="Tahoma"/>
            <family val="2"/>
            <charset val="204"/>
          </rPr>
          <t>Макароны, масло подсолнечное, специи</t>
        </r>
      </text>
    </comment>
    <comment ref="A58" authorId="0" shapeId="0">
      <text>
        <r>
          <rPr>
            <sz val="9"/>
            <color indexed="81"/>
            <rFont val="Tahoma"/>
            <family val="2"/>
            <charset val="204"/>
          </rPr>
          <t>Мука в/с, молоко, масло подсолнечное, яйцо, сахар, соль</t>
        </r>
      </text>
    </comment>
    <comment ref="A59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яйцо, молоко, сахар, масло подсолнечное, соль, куриная грудка, лук репчатый, шампиньоны свежие, соус "Бешамель", перец чёрный, сыр "Чечел"</t>
        </r>
      </text>
    </comment>
    <comment ref="A60" authorId="0" shapeId="0">
      <text>
        <r>
          <rPr>
            <sz val="9"/>
            <color indexed="81"/>
            <rFont val="Tahoma"/>
            <family val="2"/>
            <charset val="204"/>
          </rPr>
          <t>Мука в/с, молоко, масло подсолнечное, яйца, сахар, соль, ветчина, сыр, яйцо, сухари панировочные</t>
        </r>
      </text>
    </comment>
    <comment ref="A61" authorId="0" shapeId="0">
      <text>
        <r>
          <rPr>
            <sz val="9"/>
            <color indexed="81"/>
            <rFont val="Tahoma"/>
            <family val="2"/>
            <charset val="204"/>
          </rPr>
          <t>Мука в/с, молоко, яйцо, сливочное масло, сахар, дрожжи, соль, свинина, говядина, лук</t>
        </r>
      </text>
    </comment>
    <comment ref="A62" authorId="0" shapeId="0">
      <text>
        <r>
          <rPr>
            <sz val="9"/>
            <color indexed="81"/>
            <rFont val="Tahoma"/>
            <family val="2"/>
            <charset val="204"/>
          </rPr>
          <t>мука, сливки, молоко, масло сливочное, курица, лук, соль</t>
        </r>
      </text>
    </comment>
    <comment ref="A63" authorId="0" shapeId="0">
      <text>
        <r>
          <rPr>
            <sz val="9"/>
            <color indexed="81"/>
            <rFont val="Tahoma"/>
            <family val="2"/>
            <charset val="204"/>
          </rPr>
          <t>Мука в/с, молоко, яйцо, масло сливочное, сахар, дрожжи, соль, творог 9%, сахар</t>
        </r>
      </text>
    </comment>
    <comment ref="A64" authorId="0" shapeId="0">
      <text>
        <r>
          <rPr>
            <sz val="9"/>
            <color indexed="81"/>
            <rFont val="Tahoma"/>
            <family val="2"/>
            <charset val="204"/>
          </rPr>
          <t>Мука в/с, молоко, яйцо, масло сливочное, дрожжи, соль, яблоки, сахар</t>
        </r>
      </text>
    </comment>
    <comment ref="A66" authorId="0" shapeId="0">
      <text>
        <r>
          <rPr>
            <sz val="9"/>
            <color indexed="81"/>
            <rFont val="Tahoma"/>
            <family val="2"/>
            <charset val="204"/>
          </rPr>
          <t>Лаваш, ветчина, сыр, огурцы, салат</t>
        </r>
      </text>
    </comment>
    <comment ref="A67" authorId="0" shapeId="0">
      <text>
        <r>
          <rPr>
            <sz val="9"/>
            <color indexed="81"/>
            <rFont val="Tahoma"/>
            <family val="2"/>
            <charset val="204"/>
          </rPr>
          <t>Лаваш, куриная грудка, сыр, помидоры, соус, салат</t>
        </r>
      </text>
    </comment>
    <comment ref="A68" authorId="0" shapeId="0">
      <text>
        <r>
          <rPr>
            <sz val="9"/>
            <color indexed="81"/>
            <rFont val="Tahoma"/>
            <family val="2"/>
            <charset val="204"/>
          </rPr>
          <t>Лаваш, лосось пряного посола, блин яичный, помидоры, капуста пекинская, масло сливочное</t>
        </r>
      </text>
    </comment>
    <comment ref="A69" authorId="0" shapeId="0">
      <text>
        <r>
          <rPr>
            <sz val="9"/>
            <color indexed="81"/>
            <rFont val="Tahoma"/>
            <family val="2"/>
            <charset val="204"/>
          </rPr>
          <t>Лаваш, наггетсы куриные, хашбраун картофельный, огурцы, соус</t>
        </r>
      </text>
    </comment>
    <comment ref="A70" authorId="0" shapeId="0">
      <text>
        <r>
          <rPr>
            <sz val="9"/>
            <color indexed="81"/>
            <rFont val="Tahoma"/>
            <family val="2"/>
            <charset val="204"/>
          </rPr>
          <t>Лаваш, филе куриное, капуста б/к, томаты, огурцы маринованные, соль, чеснок, перец, яйцо, соус</t>
        </r>
      </text>
    </comment>
    <comment ref="A72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масло подсолнечное, лосось солёный, томаты, сыр творожный, салат Айсберг, соус.</t>
        </r>
      </text>
    </comment>
    <comment ref="A73" authorId="0" shapeId="0">
      <text>
        <r>
          <rPr>
            <sz val="9"/>
            <color indexed="81"/>
            <rFont val="Tahoma"/>
            <family val="2"/>
            <charset val="204"/>
          </rPr>
          <t>Хлеб тостовый, ветчина, соус, сыр, огурцы маринованные, салат</t>
        </r>
      </text>
    </comment>
    <comment ref="A74" authorId="0" shapeId="0">
      <text>
        <r>
          <rPr>
            <sz val="9"/>
            <color indexed="81"/>
            <rFont val="Tahoma"/>
            <family val="2"/>
            <charset val="204"/>
          </rPr>
          <t>Хлеб, куриное филе в/к, бекон в/к, томаты, соус "Цезарь", салат</t>
        </r>
      </text>
    </comment>
    <comment ref="A75" authorId="0" shapeId="0">
      <text>
        <r>
          <rPr>
            <sz val="9"/>
            <color indexed="81"/>
            <rFont val="Tahoma"/>
            <family val="2"/>
            <charset val="204"/>
          </rPr>
          <t>Хлеб тостовый, семга соленая, соус зеленый, помидоры, салат "Айсберг"</t>
        </r>
      </text>
    </comment>
    <comment ref="A76" authorId="0" shapeId="0">
      <text>
        <r>
          <rPr>
            <sz val="9"/>
            <color indexed="81"/>
            <rFont val="Tahoma"/>
            <family val="2"/>
            <charset val="204"/>
          </rPr>
          <t>Куриное филе, томаты, капуста, огурцы, морковь, соус</t>
        </r>
      </text>
    </comment>
    <comment ref="A77" authorId="0" shapeId="0">
      <text>
        <r>
          <rPr>
            <sz val="9"/>
            <color indexed="81"/>
            <rFont val="Tahoma"/>
            <family val="2"/>
            <charset val="204"/>
          </rPr>
          <t>Кунжут, говядина, курица, лук, помидоры, салат, майонез, специи</t>
        </r>
      </text>
    </comment>
    <comment ref="A78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масло подсолнечное, кунжут, филе куриной грудки, лук, яйцо куриное, майонез, томаты, огурцы маринованные, салат Айсбер, лук красный.</t>
        </r>
      </text>
    </comment>
    <comment ref="A80" authorId="0" shapeId="0">
      <text>
        <r>
          <rPr>
            <sz val="9"/>
            <color indexed="81"/>
            <rFont val="Tahoma"/>
            <family val="2"/>
            <charset val="204"/>
          </rPr>
          <t>Тесто, курага, яблоки, сахар, кунжут, яйцо</t>
        </r>
      </text>
    </comment>
    <comment ref="A81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яйцо, капуста, лук, масло подсолнечное</t>
        </r>
      </text>
    </comment>
    <comment ref="A82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молоко, яйцо, говядина, свинина, лук, масло подсолнечное, соль, перец черный</t>
        </r>
      </text>
    </comment>
    <comment ref="A83" authorId="0" shapeId="0">
      <text>
        <r>
          <rPr>
            <sz val="9"/>
            <color indexed="81"/>
            <rFont val="Tahoma"/>
            <family val="2"/>
            <charset val="204"/>
          </rPr>
          <t>Тесто, яблоки, сахар, корица, яйцо</t>
        </r>
      </text>
    </comment>
    <comment ref="A84" authorId="0" shapeId="0">
      <text>
        <r>
          <rPr>
            <sz val="9"/>
            <color indexed="81"/>
            <rFont val="Tahoma"/>
            <family val="2"/>
            <charset val="204"/>
          </rPr>
          <t>Мука в/с, молоко, яйцо, сахар, дрожжи, соль, лук, специи</t>
        </r>
      </text>
    </comment>
    <comment ref="A85" authorId="0" shapeId="0">
      <text>
        <r>
          <rPr>
            <sz val="9"/>
            <color indexed="81"/>
            <rFont val="Tahoma"/>
            <family val="2"/>
            <charset val="204"/>
          </rPr>
          <t>Мука в/с, сахар, маргарин, яйцо, дрожжи, соль, мак, молоко</t>
        </r>
      </text>
    </comment>
    <comment ref="A86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молоко, сахар, масло подсолнечное, яйцо, сосиска молочная ГОСТ</t>
        </r>
      </text>
    </comment>
    <comment ref="A87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молоко, маргарин, яйцо, вишня, сахар</t>
        </r>
      </text>
    </comment>
    <comment ref="A88" authorId="0" shapeId="0">
      <text>
        <r>
          <rPr>
            <sz val="9"/>
            <color indexed="81"/>
            <rFont val="Tahoma"/>
            <family val="2"/>
            <charset val="204"/>
          </rPr>
          <t>Мука пшеничня в/с, сахар, яйцо, масло сливочное, творог</t>
        </r>
      </text>
    </comment>
    <comment ref="A89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масло подсолнечное, шпинат, укроп, петрушка, брынза, сыр, лук, соль</t>
        </r>
      </text>
    </comment>
    <comment ref="A90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масло сливочное, филе куриной грудки, картофель, лук, масло подсолнечное, соль.</t>
        </r>
      </text>
    </comment>
    <comment ref="A91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пшеничная, меланж, говядина, филе куриной грудки, лук репчатый, масло подсолнечное, соль, перец черный</t>
        </r>
      </text>
    </comment>
    <comment ref="A92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яйцо, сыр,</t>
        </r>
      </text>
    </comment>
    <comment ref="A93" authorId="0" shapeId="0">
      <text>
        <r>
          <rPr>
            <sz val="9"/>
            <color indexed="81"/>
            <rFont val="Tahoma"/>
            <family val="2"/>
            <charset val="204"/>
          </rPr>
          <t>Мука в/с, вода, маргарин, яйцо, соль, лук репчатый,  курица,</t>
        </r>
      </text>
    </comment>
    <comment ref="A97" authorId="0" shapeId="0">
      <text>
        <r>
          <rPr>
            <sz val="9"/>
            <color indexed="81"/>
            <rFont val="Tahoma"/>
            <family val="2"/>
            <charset val="204"/>
          </rPr>
          <t>Яблоко, вишня,  вода, сахар, лимон</t>
        </r>
      </text>
    </comment>
    <comment ref="A98" authorId="0" shapeId="0">
      <text>
        <r>
          <rPr>
            <sz val="9"/>
            <color indexed="81"/>
            <rFont val="Tahoma"/>
            <family val="2"/>
            <charset val="204"/>
          </rPr>
          <t>Яблоко, вишня,  вода, сахар, лимон</t>
        </r>
      </text>
    </comment>
  </commentList>
</comments>
</file>

<file path=xl/comments7.xml><?xml version="1.0" encoding="utf-8"?>
<comments xmlns="http://schemas.openxmlformats.org/spreadsheetml/2006/main">
  <authors>
    <author>User987</author>
  </authors>
  <commentList>
    <comment ref="A10" authorId="0" shapeId="0">
      <text>
        <r>
          <rPr>
            <sz val="9"/>
            <color indexed="81"/>
            <rFont val="Tahoma"/>
            <family val="2"/>
            <charset val="204"/>
          </rPr>
          <t>Морковь, масло подсолнечное, сахар, уксус, соль, чеснок, перец, кунжут, кориандр</t>
        </r>
      </text>
    </comment>
    <comment ref="A11" authorId="0" shapeId="0">
      <text>
        <r>
          <rPr>
            <sz val="9"/>
            <color indexed="81"/>
            <rFont val="Tahoma"/>
            <family val="2"/>
            <charset val="204"/>
          </rPr>
          <t>Картофель, свекла, огурцы, горошек, морковь, лук, масло подсолнечное, специи</t>
        </r>
      </text>
    </comment>
    <comment ref="A12" authorId="0" shapeId="0">
      <text>
        <r>
          <rPr>
            <sz val="9"/>
            <color indexed="81"/>
            <rFont val="Tahoma"/>
            <family val="2"/>
            <charset val="204"/>
          </rPr>
          <t>Картофель, морковь, куриное филе, яйцо, горошек, майонез, специи</t>
        </r>
      </text>
    </comment>
    <comment ref="A13" authorId="0" shapeId="0">
      <text>
        <r>
          <rPr>
            <sz val="9"/>
            <color indexed="81"/>
            <rFont val="Tahoma"/>
            <family val="2"/>
            <charset val="204"/>
          </rPr>
          <t>Грудка куриная, морковь, меланж, шампиньоны, кукуруза, огурцы, укроп, перец черный, соль, сметана 20%</t>
        </r>
      </text>
    </comment>
    <comment ref="A14" authorId="0" shapeId="0">
      <text>
        <r>
          <rPr>
            <sz val="9"/>
            <color indexed="81"/>
            <rFont val="Tahoma"/>
            <family val="2"/>
            <charset val="204"/>
          </rPr>
          <t>Свекла, чеснок, майонез, специи, зелень</t>
        </r>
      </text>
    </comment>
    <comment ref="A16" authorId="0" shapeId="0">
      <text>
        <r>
          <rPr>
            <sz val="9"/>
            <color indexed="81"/>
            <rFont val="Tahoma"/>
            <family val="2"/>
            <charset val="204"/>
          </rPr>
          <t>Яйцо, молоко, соль, помидоры, укроп</t>
        </r>
      </text>
    </comment>
    <comment ref="A17" authorId="0" shapeId="0">
      <text>
        <r>
          <rPr>
            <sz val="9"/>
            <color indexed="81"/>
            <rFont val="Tahoma"/>
            <family val="2"/>
            <charset val="204"/>
          </rPr>
          <t>Картофель, крупа перловая, морковь, петрушка, лук, огурец, говядина</t>
        </r>
      </text>
    </comment>
    <comment ref="A18" authorId="0" shapeId="0">
      <text>
        <r>
          <rPr>
            <sz val="9"/>
            <color indexed="81"/>
            <rFont val="Tahoma"/>
            <family val="2"/>
            <charset val="204"/>
          </rPr>
          <t>Картофель, морковь, лук, индейка, перец черный, соль</t>
        </r>
      </text>
    </comment>
    <comment ref="A20" authorId="0" shapeId="0">
      <text>
        <r>
          <rPr>
            <sz val="9"/>
            <color indexed="81"/>
            <rFont val="Tahoma"/>
            <family val="2"/>
            <charset val="204"/>
          </rPr>
          <t>Филе куриное, гречка, сухари панировочные, лук репчатый, масло сливочное, масло подсолнечное, соль</t>
        </r>
      </text>
    </comment>
    <comment ref="A21" authorId="0" shapeId="0">
      <text>
        <r>
          <rPr>
            <sz val="9"/>
            <color indexed="81"/>
            <rFont val="Tahoma"/>
            <family val="2"/>
            <charset val="204"/>
          </rPr>
          <t>Филе куриной грудки, сухари панировочные, яйцо, масло сливочное, чеснок, соль, укроп</t>
        </r>
      </text>
    </comment>
    <comment ref="A22" authorId="0" shapeId="0">
      <text>
        <r>
          <rPr>
            <sz val="9"/>
            <color indexed="81"/>
            <rFont val="Tahoma"/>
            <family val="2"/>
            <charset val="204"/>
          </rPr>
          <t>Филе куриной грудки, сыр, картофель, молоко, яйцо, масло подсолнечное, соль</t>
        </r>
      </text>
    </comment>
    <comment ref="A23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свинина, капуста, лук, масло подсолнечное, чеснок, соль, перец черный</t>
        </r>
      </text>
    </comment>
    <comment ref="A24" authorId="0" shapeId="0">
      <text>
        <r>
          <rPr>
            <sz val="9"/>
            <color indexed="81"/>
            <rFont val="Tahoma"/>
            <family val="2"/>
            <charset val="204"/>
          </rPr>
          <t>Сосиски, макароны, кетчуп</t>
        </r>
      </text>
    </comment>
    <comment ref="A25" authorId="0" shapeId="0">
      <text>
        <r>
          <rPr>
            <sz val="9"/>
            <color indexed="81"/>
            <rFont val="Tahoma"/>
            <family val="2"/>
            <charset val="204"/>
          </rPr>
          <t>Спагетти, лук репчатый, помидоры, говядина, свинина, перец болгарский, масло подсолнечное, томатная паста, чеснок, соль</t>
        </r>
      </text>
    </comment>
    <comment ref="A26" authorId="0" shapeId="0">
      <text>
        <r>
          <rPr>
            <sz val="9"/>
            <color indexed="81"/>
            <rFont val="Tahoma"/>
            <family val="2"/>
            <charset val="204"/>
          </rPr>
          <t>Курица, чеснок, картофель, масло подсолнечное, укроп, соль</t>
        </r>
      </text>
    </comment>
    <comment ref="A28" authorId="0" shapeId="0">
      <text>
        <r>
          <rPr>
            <sz val="9"/>
            <color indexed="81"/>
            <rFont val="Tahoma"/>
            <family val="2"/>
            <charset val="204"/>
          </rPr>
          <t>Гречневая каша, шампиньоны, зелень</t>
        </r>
      </text>
    </comment>
    <comment ref="A29" authorId="0" shapeId="0">
      <text>
        <r>
          <rPr>
            <sz val="9"/>
            <color indexed="81"/>
            <rFont val="Tahoma"/>
            <family val="2"/>
            <charset val="204"/>
          </rPr>
          <t>Макароны, масло подсолнечное, специи</t>
        </r>
      </text>
    </comment>
    <comment ref="A30" authorId="0" shapeId="0">
      <text>
        <r>
          <rPr>
            <sz val="9"/>
            <color indexed="81"/>
            <rFont val="Tahoma"/>
            <family val="2"/>
            <charset val="204"/>
          </rPr>
          <t>Картофель, укроп</t>
        </r>
      </text>
    </comment>
    <comment ref="A32" authorId="0" shapeId="0">
      <text>
        <r>
          <rPr>
            <sz val="9"/>
            <color indexed="81"/>
            <rFont val="Tahoma"/>
            <family val="2"/>
            <charset val="204"/>
          </rPr>
          <t>Лаваш, наггетсы куриные, хашбраун картофельный, огурцы, соус</t>
        </r>
      </text>
    </comment>
    <comment ref="A33" authorId="0" shapeId="0">
      <text>
        <r>
          <rPr>
            <sz val="9"/>
            <color indexed="81"/>
            <rFont val="Tahoma"/>
            <family val="2"/>
            <charset val="204"/>
          </rPr>
          <t>Лаваш, филе куриное, капуста б/к, томаты, огурцы маринованные, соль, чеснок, перец, яйцо, соус</t>
        </r>
      </text>
    </comment>
    <comment ref="A35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яйцо, капуста, лук, масло подсолнечное</t>
        </r>
      </text>
    </comment>
    <comment ref="A36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молоко, яйцо, говядина, свинина, лук, масло подсолнечное, соль, перец черный</t>
        </r>
      </text>
    </comment>
    <comment ref="A37" authorId="0" shapeId="0">
      <text>
        <r>
          <rPr>
            <sz val="9"/>
            <color indexed="81"/>
            <rFont val="Tahoma"/>
            <family val="2"/>
            <charset val="204"/>
          </rPr>
          <t>Мука в/с, молоко, яйцо, сахар, дрожжи, соль, лук, специи</t>
        </r>
      </text>
    </comment>
    <comment ref="A38" authorId="0" shapeId="0">
      <text>
        <r>
          <rPr>
            <sz val="9"/>
            <color indexed="81"/>
            <rFont val="Tahoma"/>
            <family val="2"/>
            <charset val="204"/>
          </rPr>
          <t>Тесто, яблоки, сахар, корица, яйцо</t>
        </r>
      </text>
    </comment>
    <comment ref="A39" authorId="0" shapeId="0">
      <text>
        <r>
          <rPr>
            <sz val="9"/>
            <color indexed="81"/>
            <rFont val="Tahoma"/>
            <family val="2"/>
            <charset val="204"/>
          </rPr>
          <t>Мука пшеничная в/с, молоко, сахар, масло подсолнечное, яйцо, сосиска молочная ГОСТ</t>
        </r>
      </text>
    </comment>
    <comment ref="A43" authorId="0" shapeId="0">
      <text>
        <r>
          <rPr>
            <sz val="9"/>
            <color indexed="81"/>
            <rFont val="Tahoma"/>
            <family val="2"/>
            <charset val="204"/>
          </rPr>
          <t>Яблоко, вишня,  вода, сахар, лимон</t>
        </r>
      </text>
    </comment>
    <comment ref="A44" authorId="0" shapeId="0">
      <text>
        <r>
          <rPr>
            <sz val="9"/>
            <color indexed="81"/>
            <rFont val="Tahoma"/>
            <family val="2"/>
            <charset val="204"/>
          </rPr>
          <t>Яблоко, вишня,  вода, сахар, лимон</t>
        </r>
      </text>
    </comment>
  </commentList>
</comments>
</file>

<file path=xl/sharedStrings.xml><?xml version="1.0" encoding="utf-8"?>
<sst xmlns="http://schemas.openxmlformats.org/spreadsheetml/2006/main" count="1292" uniqueCount="262">
  <si>
    <t>Наименование</t>
  </si>
  <si>
    <t>Цена</t>
  </si>
  <si>
    <t>МЕНЮ</t>
  </si>
  <si>
    <t>1 декабря 2025 г.</t>
  </si>
  <si>
    <t>Понедельник</t>
  </si>
  <si>
    <t>Кол-во</t>
  </si>
  <si>
    <t>Стоимость</t>
  </si>
  <si>
    <t>Салаты и закуски</t>
  </si>
  <si>
    <t>Винегрет овощной 150 г</t>
  </si>
  <si>
    <t>Винегрет без картофеля 150 г</t>
  </si>
  <si>
    <t>Морковь по-корейски 150 г</t>
  </si>
  <si>
    <t>Салат "Буржуй"  150 г</t>
  </si>
  <si>
    <t>Салат "Мимоза"  150 г</t>
  </si>
  <si>
    <t>Салат "Нептун" 150 г</t>
  </si>
  <si>
    <t>Салат "Оливье с колбасой" 150 г</t>
  </si>
  <si>
    <t>Салат "Сельдь под шубой" 150 г</t>
  </si>
  <si>
    <t>Салат "Оливье с курицей" 150 г</t>
  </si>
  <si>
    <t>Фунчеза 150 г</t>
  </si>
  <si>
    <t>Салат "Цезарь с пекинской капустой и майонезом" 150 г</t>
  </si>
  <si>
    <t>Свекла с чесноком 150 г</t>
  </si>
  <si>
    <t>Салат "Греческий" уп.190 г. (ПРЕМИУМ)</t>
  </si>
  <si>
    <t>Салат "Цезарь" 180 г (ПРЕМИУМ)</t>
  </si>
  <si>
    <t>Салат "Мимоза (слоеный)" 300 г</t>
  </si>
  <si>
    <t>Салат "Оливье с курицей" 300 г</t>
  </si>
  <si>
    <t>Салат "Сельдь под шубой (слоеный)" 300 г</t>
  </si>
  <si>
    <t>Салат "Южный" 150 г</t>
  </si>
  <si>
    <t>Салат "Овощной" 150гр. (из помидоров и огурцов)</t>
  </si>
  <si>
    <t>Салат с курицей черносливом и арахисом 200 г</t>
  </si>
  <si>
    <t>Салат "Грузинский" 150 г</t>
  </si>
  <si>
    <t>Салат овощной с индейкой 180 г</t>
  </si>
  <si>
    <t>Завтраки</t>
  </si>
  <si>
    <t>Сырники с изюмом 200 г ( в уп. 4 шт)</t>
  </si>
  <si>
    <t>Сырники запеченные с цедрой апельсина 200 г</t>
  </si>
  <si>
    <t>Овсяная каша на молоке 300 г</t>
  </si>
  <si>
    <t>Пшенная каша на молоке 300 г</t>
  </si>
  <si>
    <t>Рисовая каша на молоке 300 г</t>
  </si>
  <si>
    <t>Каша гурьевская 240 г</t>
  </si>
  <si>
    <t>Запеканка творожная</t>
  </si>
  <si>
    <t>Сырный блин по-голландски 140 г</t>
  </si>
  <si>
    <t>Сырный блин с куриным филе 140 г</t>
  </si>
  <si>
    <t>Блин-омлет с куриным филе 140 г</t>
  </si>
  <si>
    <t>Блин-омлет с сыром и ветчиной 140 г</t>
  </si>
  <si>
    <t>Омлет с помидорами и зеленью 150 г</t>
  </si>
  <si>
    <t>Омлет с сосисками 150 г</t>
  </si>
  <si>
    <t>Первые блюда</t>
  </si>
  <si>
    <t>Рассольник  Ленинградский с говядиной 300 г</t>
  </si>
  <si>
    <t>Суп гороховый с копченостями 300 г</t>
  </si>
  <si>
    <t>Вторые блюда</t>
  </si>
  <si>
    <t>Окорочка куриные запечённые  250 г</t>
  </si>
  <si>
    <t>Шашлык куриный 200 г</t>
  </si>
  <si>
    <t>Наси горенг 250 г</t>
  </si>
  <si>
    <t>Гуляш из говядины с картофельным пюре 295 г</t>
  </si>
  <si>
    <t>Биточки куриные с гречкой 270 г</t>
  </si>
  <si>
    <t>Грудка куриная под сыром и шампиньонами с картофельным пюре 270 г</t>
  </si>
  <si>
    <t>Котлета  "Пожарская" с картофельным пюре 270 г</t>
  </si>
  <si>
    <t>Котлета по-Киевски с картофельным пюре 270 г</t>
  </si>
  <si>
    <t>Котлета из индейки с картофельным пюре 270 г</t>
  </si>
  <si>
    <t>Котлета "Минская" со спагетти 100+170</t>
  </si>
  <si>
    <t>Куриное филе в сырном кляре с картофельным пюре 270 г</t>
  </si>
  <si>
    <t>Курица "Су-вид" с гречкой, грибами и луком  270 г</t>
  </si>
  <si>
    <t>Крылышки куриные 200 г</t>
  </si>
  <si>
    <t>Лагман с курицей 275 г</t>
  </si>
  <si>
    <t>Мясо по-французски с картофельным пюре  270 г</t>
  </si>
  <si>
    <t>Паста "Болоньезе"  275 г</t>
  </si>
  <si>
    <t>Паста "Карбонара" 265 г</t>
  </si>
  <si>
    <t>Плов с курицей 250 г</t>
  </si>
  <si>
    <t>Плов с мясом 250 г</t>
  </si>
  <si>
    <t>Сосиски гриль с макаронами и кетчупом 250+40 г</t>
  </si>
  <si>
    <t>Тефтели мясные с картофельным пюре 310 г</t>
  </si>
  <si>
    <t>Филе минтая под шубой из сыра и яиц с картофельным пюре 270 г</t>
  </si>
  <si>
    <t>Шашлык куриный с картофельным пюре 270 г</t>
  </si>
  <si>
    <t>Пельмени "Уральские" из курицы и говядины 250 г</t>
  </si>
  <si>
    <t>Горбуша жареная в сухарях с рисом по-гавайски 250 г</t>
  </si>
  <si>
    <t>Котлета Московская с макаронами 250 г</t>
  </si>
  <si>
    <t>Пенне карбонара с беконом в сливочном соусе 300 г</t>
  </si>
  <si>
    <t>Баварские колбаски с макаронами и соусом 300 г</t>
  </si>
  <si>
    <t>Колбаски с картофельным пюре 300 г</t>
  </si>
  <si>
    <t>Японский рис с курицей и овощами 300 г</t>
  </si>
  <si>
    <t>Поке с курицей 305 г</t>
  </si>
  <si>
    <t>Поке с лососем 310 г</t>
  </si>
  <si>
    <t>Пибимпаб с курицей 260 г</t>
  </si>
  <si>
    <t>Паста с лососем 210 г</t>
  </si>
  <si>
    <t>Котлета "домашняя" с картофельным пюре 250 г</t>
  </si>
  <si>
    <t>Котлета "домашняя" с макаронами 250 г</t>
  </si>
  <si>
    <t>Жаркое по-домашнему 300 г</t>
  </si>
  <si>
    <t>Курица тушеная с овощами  300 г</t>
  </si>
  <si>
    <t>Люля- кебаб с кетчупом и рисом 290 г</t>
  </si>
  <si>
    <t>Оладьи из филе курицы с пенне 250 г</t>
  </si>
  <si>
    <t>Манты по-восточному  290 г</t>
  </si>
  <si>
    <t>Манты с мясом и тыквой 200 г</t>
  </si>
  <si>
    <t>Шницель из индейки со спагетти и кетчупом 290 г</t>
  </si>
  <si>
    <t>Пироги по - корейски с мясом  280 г</t>
  </si>
  <si>
    <t>Вареники с творогом 200 г</t>
  </si>
  <si>
    <t>Вареники постные с картофелем и грибами 250 г</t>
  </si>
  <si>
    <t>Гарниры</t>
  </si>
  <si>
    <t>Гречка отварная 170 г</t>
  </si>
  <si>
    <t>Рис с овощами 170г</t>
  </si>
  <si>
    <t>Лапша "Соба" 170 г</t>
  </si>
  <si>
    <t>Капуста тушеная 170 г</t>
  </si>
  <si>
    <t>Блины</t>
  </si>
  <si>
    <t>Блины без начинки 250 г</t>
  </si>
  <si>
    <t>Блины жюльен 210 г</t>
  </si>
  <si>
    <t>Блины овсяные безглютеновые 180 г</t>
  </si>
  <si>
    <t>Блины с курицей и грибами 160 г</t>
  </si>
  <si>
    <t>Блины с черной смородиной и яблоком 210 г</t>
  </si>
  <si>
    <t>Блины шоколадные с апельсином 150 г</t>
  </si>
  <si>
    <t>Блины с ветчиной и сыром (210) (упак.3шт.)</t>
  </si>
  <si>
    <t>Блинчики с мясом (210) (упак.3шт.)</t>
  </si>
  <si>
    <t>Блинчики с творогом (210) (упак.3шт.)</t>
  </si>
  <si>
    <t>Блины с курицей в сливочном соусе 160 г</t>
  </si>
  <si>
    <t>Блинчики с яблоком (210) (упак.3шт.)</t>
  </si>
  <si>
    <t>Роллы</t>
  </si>
  <si>
    <t>Ролл с ветчиной и сыром 170 г</t>
  </si>
  <si>
    <t>Ролл с куриной грудкой 170 г</t>
  </si>
  <si>
    <t>Ролл с лососем 170 г</t>
  </si>
  <si>
    <t>Твистер с курицей 200 г</t>
  </si>
  <si>
    <t>Шаурма с курицей 230 г</t>
  </si>
  <si>
    <t>Сэндвичи</t>
  </si>
  <si>
    <t>Багет с бужениной (пикантный) 240 г</t>
  </si>
  <si>
    <t>Багет с ветчиной 240 г</t>
  </si>
  <si>
    <t>Багет с куриной грудкой 240 г</t>
  </si>
  <si>
    <t>Багет с куриным рулетом (манхэттен) 250 г</t>
  </si>
  <si>
    <t>Багет с рулетом из индейки (сан-сет) 250 г</t>
  </si>
  <si>
    <t>Багет с сыром и ветчиной "Пикник" 250 г</t>
  </si>
  <si>
    <t>Бутерброд с куриной грудкой (Эконом) 180 г</t>
  </si>
  <si>
    <t>Бутерброд с красной рыбой 180 г</t>
  </si>
  <si>
    <t>Бутерброд с сыром и ветчиной 180 г</t>
  </si>
  <si>
    <t>Бутерброд с курицей и беконом 180 г</t>
  </si>
  <si>
    <t>Бутерброд с семгой 180 г</t>
  </si>
  <si>
    <t>Паровая булочка с курицей 140 г</t>
  </si>
  <si>
    <t>Гамбургер с бифштексом рубленным 200г</t>
  </si>
  <si>
    <t>Сэндвич-ролл с омлетом, ветчиной и сыром 180 г</t>
  </si>
  <si>
    <t>Бургер с куриной котлетой 180 г</t>
  </si>
  <si>
    <t>Фахитос с индейкой  230 г</t>
  </si>
  <si>
    <t>Кесадилья с курицей 200 г</t>
  </si>
  <si>
    <t>Кесадилья с ветчиной из индейки и сыром 230 г</t>
  </si>
  <si>
    <t>Выпечка</t>
  </si>
  <si>
    <t>Пирожок печеный с абрикосом 100 г</t>
  </si>
  <si>
    <t>Пирожок печеный с капустой 100 г</t>
  </si>
  <si>
    <t>Пирожок печеный с мясом 100 г</t>
  </si>
  <si>
    <t>Пирожок печеный с яблоком 100 г</t>
  </si>
  <si>
    <t>Пирожок печёный с яйцом и зелёным луком 100 г</t>
  </si>
  <si>
    <t>Булочка с маком 100 г</t>
  </si>
  <si>
    <t>Слойка с вишней 100 г</t>
  </si>
  <si>
    <t>Сочник с творогом 100 г</t>
  </si>
  <si>
    <t>Сосиска в тесте 110 г</t>
  </si>
  <si>
    <t>Курник 100 г</t>
  </si>
  <si>
    <t>Чебуреки с мясом 120 г (2 шт)</t>
  </si>
  <si>
    <t>Чебуреки с сыром 140 г  (упак. 2 шт.)</t>
  </si>
  <si>
    <t>Мини пирожок с мясом 135 г</t>
  </si>
  <si>
    <t>Мини пирожок с яблоком 135 г</t>
  </si>
  <si>
    <t>Маффин морковный 100 г</t>
  </si>
  <si>
    <t>Маффин творожный 100 г</t>
  </si>
  <si>
    <t>Маффин тыквенный 100 г</t>
  </si>
  <si>
    <t>Маффин шоколадный 100 г</t>
  </si>
  <si>
    <t>Самса с курицей 150 г</t>
  </si>
  <si>
    <t>Мини-пицца с колбасой 90 г</t>
  </si>
  <si>
    <t>Ватрушки-мини с творогом 200 г</t>
  </si>
  <si>
    <t>Ватрушки-мини с творогом и вишней 200 г</t>
  </si>
  <si>
    <t>Кутабы с зеленью и сыром 150 г</t>
  </si>
  <si>
    <t>Разливные напитки, соки</t>
  </si>
  <si>
    <t>Вода "Святой источник" (с газом) 0,5 л.</t>
  </si>
  <si>
    <t>Вода "Святой источник" (без газа) 0,5 л.</t>
  </si>
  <si>
    <t>Черноголовка "Байкал" 0,5 л</t>
  </si>
  <si>
    <t>Черноголовка "Дюшес" 0,5 л</t>
  </si>
  <si>
    <t>Черноголовка "Тархун" 0,5 л</t>
  </si>
  <si>
    <t>Яблочно-вишневый компот 500 г</t>
  </si>
  <si>
    <t>Яблочно-вишневый компот 300 г</t>
  </si>
  <si>
    <t>Компот из сухофруктов 500 г</t>
  </si>
  <si>
    <t>Сок "Диас" абрикос 200 мл.</t>
  </si>
  <si>
    <t>Сок "Диас" апельсин 200 мл.</t>
  </si>
  <si>
    <t>Сок "Диас" яблоко 200 мл.</t>
  </si>
  <si>
    <t>Сок "Диас" томат  200 мл.</t>
  </si>
  <si>
    <t>Кетчуп (0,2кг)</t>
  </si>
  <si>
    <t>Майонез 200 г</t>
  </si>
  <si>
    <t>Сметана 200 г</t>
  </si>
  <si>
    <t>Хлеб нарезной белый</t>
  </si>
  <si>
    <t>Хлеб нарезной черный</t>
  </si>
  <si>
    <t>Приборы "4"</t>
  </si>
  <si>
    <t>Приборы "5"</t>
  </si>
  <si>
    <t>Комплексное меню</t>
  </si>
  <si>
    <t>1Комплекс "Завтрак"</t>
  </si>
  <si>
    <t>Какао с молоком 250 г</t>
  </si>
  <si>
    <t>1Комплекс БК</t>
  </si>
  <si>
    <t>Шашлык куриный 100 г</t>
  </si>
  <si>
    <t>Рис отварной 170 г</t>
  </si>
  <si>
    <t>1Комплекс "Стандарт" (ОБЕДЫ)</t>
  </si>
  <si>
    <t>Сок "Диас" абрикос 0,2 л.</t>
  </si>
  <si>
    <t>1Комплекс БВ</t>
  </si>
  <si>
    <t>1Комплекс "Стандарт ПЛЮС" (ОБЕДЫ)</t>
  </si>
  <si>
    <t>1Комплекс "Без свинины"</t>
  </si>
  <si>
    <t>1Комплекс "Гурман"</t>
  </si>
  <si>
    <t>Котлета  "Пожарская" 100 г</t>
  </si>
  <si>
    <t>Макароны отварные 170 г</t>
  </si>
  <si>
    <t>1Комплекс "Эконом"</t>
  </si>
  <si>
    <t>1Комплекс "Вкусный дуэт"</t>
  </si>
  <si>
    <t>Биточки по-селянски с рисом и овощами 270 г</t>
  </si>
  <si>
    <t>2 декабря 2025 г.</t>
  </si>
  <si>
    <t>Вторник</t>
  </si>
  <si>
    <t>Салат "Аппетитный" 150 г</t>
  </si>
  <si>
    <t>Салат " Матадор" 150 г</t>
  </si>
  <si>
    <t>Салат "Весна"  150 г</t>
  </si>
  <si>
    <t>Деревенская похлёбка по-болгарски 300 г</t>
  </si>
  <si>
    <t>Суп "Гуляш" 300 г</t>
  </si>
  <si>
    <t>Бифштекс рубленный с хрустящим луком и соусом Тар-Тар с гречкой 290 г</t>
  </si>
  <si>
    <t>Гавайская смесь пропаренная 170 г</t>
  </si>
  <si>
    <t>Лапша Лагман отварная 170 г</t>
  </si>
  <si>
    <t>Картофельное пюре 170 г</t>
  </si>
  <si>
    <t>Колбаса вареная жареная 100 г</t>
  </si>
  <si>
    <t>Сок "Диас" апельсин 0,2 л.</t>
  </si>
  <si>
    <t>Пирожок печеный с капустой 1/100гр.</t>
  </si>
  <si>
    <t>Котлета из индейки паровая  100 г</t>
  </si>
  <si>
    <t>3 декабря 2025 г.</t>
  </si>
  <si>
    <t>Среда</t>
  </si>
  <si>
    <t>Гречневая каша на молоке 300 г</t>
  </si>
  <si>
    <t>Суп-крем картофельный с беконом 300 г</t>
  </si>
  <si>
    <t>Лапша по-домашнему 300 г</t>
  </si>
  <si>
    <t>Котлета рыбная 100 г</t>
  </si>
  <si>
    <t>Крылышки куриные с картофелем по-деревенски и кетчупом 310 г</t>
  </si>
  <si>
    <t>Картофель отварной с зеленью (укроп) 170 г</t>
  </si>
  <si>
    <t>Сок "Диас" яблоко 0,2 л.</t>
  </si>
  <si>
    <t>Люля-кебаб с кетчупом и рисом 290 г</t>
  </si>
  <si>
    <t>Бифштекс жареный с омлетом 140 г</t>
  </si>
  <si>
    <t>Куриное филе жаренное в яйце с рисом и овощами 270 г</t>
  </si>
  <si>
    <t>4 декабря 2025 г.</t>
  </si>
  <si>
    <t>Четверг</t>
  </si>
  <si>
    <t>Свекла с черносливом 150гр.</t>
  </si>
  <si>
    <t>Салат "Гурман" 150 г</t>
  </si>
  <si>
    <t>Омлет с колбасой 150 г</t>
  </si>
  <si>
    <t>Пряный бульон с овощами и мясом цыпленка 300 г</t>
  </si>
  <si>
    <t>Солянка сборная  по-домашнему 300 г</t>
  </si>
  <si>
    <t>Крылья куриные с кетчупом с картофельным пюре 300 г</t>
  </si>
  <si>
    <t>Ветчина жареная 100 г</t>
  </si>
  <si>
    <t>Пирожок печеный с мясом 1/100г</t>
  </si>
  <si>
    <t>Котлета минская со спагетти  270 г</t>
  </si>
  <si>
    <t>Куриное филе в сырном кляре 100 г</t>
  </si>
  <si>
    <t>5 декабря 2025 г.</t>
  </si>
  <si>
    <t>Пятница</t>
  </si>
  <si>
    <t>Салат из курицы с ананасами  150 г</t>
  </si>
  <si>
    <t>Салат "Любимый вкус" 150 г</t>
  </si>
  <si>
    <t>Салат "Витаминный" 150 г</t>
  </si>
  <si>
    <t>Щи из свежей капусты с курицей 300 г</t>
  </si>
  <si>
    <t>Суп с курицей, крахмальной лапшой и грибами 300 г</t>
  </si>
  <si>
    <t>Паста с курицей и томатным соусом и моцареллой 290 г</t>
  </si>
  <si>
    <t>Шашлык куриный с картофелем по-деревенски 270 г</t>
  </si>
  <si>
    <t>Каша гречневая  с шампиньонами и луком 170 г</t>
  </si>
  <si>
    <t>Спагетти отварные 170 г</t>
  </si>
  <si>
    <t>Какао с молоком 1/500гр.</t>
  </si>
  <si>
    <t>Жаркое по-домашнему 1/300гр.</t>
  </si>
  <si>
    <t>6 декабря 2025 г.</t>
  </si>
  <si>
    <t>Суббота</t>
  </si>
  <si>
    <t>Салат "Лето" 150 г (из помидоров с луком)</t>
  </si>
  <si>
    <t>Салат "Версаль" 150 г</t>
  </si>
  <si>
    <t>Суп с фрикадельками 300 г</t>
  </si>
  <si>
    <t>Щи из свежей капусты с говядиной 300 г</t>
  </si>
  <si>
    <t>Котлета из индейки 100 г</t>
  </si>
  <si>
    <t>7 декабря 2025 г.</t>
  </si>
  <si>
    <t>Воскресенье</t>
  </si>
  <si>
    <t>Салат " Петушок"  150 г</t>
  </si>
  <si>
    <t>Суп картофельный с  индейкой 300 г</t>
  </si>
  <si>
    <t>Котлета по-Киевски 100 г</t>
  </si>
  <si>
    <t>Курица "Барбекю" с картофелем 270 г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</si>
</sst>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charset val="204"/>
      <scheme val="minor"/>
    </font>
    <font>
      <b/>
      <sz val="16"/>
      <color theme="1"/>
      <name val="Century Gothic"/>
      <family val="2"/>
      <charset val="204"/>
    </font>
    <font>
      <b/>
      <sz val="14"/>
      <color theme="1"/>
      <name val="Century Gothic"/>
      <family val="2"/>
      <charset val="204"/>
    </font>
    <font>
      <sz val="9"/>
      <color indexed="81"/>
      <name val="Tahoma"/>
      <family val="2"/>
      <charset val="204"/>
    </font>
    <font>
      <b/>
      <sz val="10"/>
      <color theme="1"/>
      <name val="Century Gothic"/>
      <family val="2"/>
      <charset val="204"/>
    </font>
    <font>
      <sz val="10"/>
      <color theme="1"/>
      <name val="Century Gothic"/>
      <family val="2"/>
      <charset val="204"/>
    </font>
    <font>
      <i/>
      <sz val="10"/>
      <color theme="1"/>
      <name val="Century Gothic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rgb="FFDCE6F1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</borders>
  <cellStyleXfs count="1">
    <xf numFmtId="0" fontId="0" fillId="0" borderId="0"/>
  </cellStyleXfs>
  <cellXfs count="31">
    <xf numFmtId="0" fontId="0" fillId="0" borderId="0" xfId="0"/>
    <xf numFmtId="0" fontId="0" fillId="0" borderId="0" xfId="0" applyAlignment="1"/>
    <xf numFmtId="0" fontId="1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0" fillId="0" borderId="2" xfId="0" applyBorder="1" applyAlignment="1"/>
    <xf numFmtId="0" fontId="2" fillId="2" borderId="3" xfId="0" applyFont="1" applyFill="1" applyBorder="1" applyAlignment="1">
      <alignment horizontal="center" vertical="center" textRotation="90"/>
    </xf>
    <xf numFmtId="0" fontId="1" fillId="2" borderId="3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vertical="top"/>
    </xf>
    <xf numFmtId="0" fontId="4" fillId="0" borderId="1" xfId="0" applyFont="1" applyBorder="1" applyAlignment="1" applyProtection="1">
      <alignment vertical="top"/>
      <protection locked="0"/>
    </xf>
    <xf numFmtId="0" fontId="4" fillId="3" borderId="1" xfId="0" applyFont="1" applyFill="1" applyBorder="1" applyAlignment="1">
      <alignment vertical="top"/>
    </xf>
    <xf numFmtId="0" fontId="5" fillId="3" borderId="1" xfId="0" applyFont="1" applyFill="1" applyBorder="1" applyAlignment="1">
      <alignment vertical="top"/>
    </xf>
    <xf numFmtId="0" fontId="5" fillId="0" borderId="1" xfId="0" applyFont="1" applyBorder="1" applyAlignment="1">
      <alignment vertical="top" wrapText="1"/>
    </xf>
    <xf numFmtId="2" fontId="5" fillId="0" borderId="1" xfId="0" applyNumberFormat="1" applyFont="1" applyBorder="1" applyAlignment="1">
      <alignment vertical="top"/>
    </xf>
    <xf numFmtId="0" fontId="5" fillId="0" borderId="1" xfId="0" applyFont="1" applyBorder="1" applyAlignment="1" applyProtection="1">
      <alignment vertical="top"/>
      <protection locked="0"/>
    </xf>
    <xf numFmtId="0" fontId="5" fillId="0" borderId="1" xfId="0" applyFont="1" applyBorder="1" applyAlignment="1">
      <alignment horizontal="center" vertical="top"/>
    </xf>
    <xf numFmtId="0" fontId="4" fillId="3" borderId="5" xfId="0" applyFont="1" applyFill="1" applyBorder="1" applyAlignment="1">
      <alignment horizontal="left" wrapText="1"/>
    </xf>
    <xf numFmtId="0" fontId="4" fillId="0" borderId="6" xfId="0" applyFont="1" applyBorder="1" applyAlignment="1">
      <alignment vertical="top"/>
    </xf>
    <xf numFmtId="0" fontId="5" fillId="3" borderId="5" xfId="0" applyFont="1" applyFill="1" applyBorder="1" applyAlignment="1">
      <alignment vertical="top"/>
    </xf>
    <xf numFmtId="2" fontId="4" fillId="0" borderId="7" xfId="0" applyNumberFormat="1" applyFont="1" applyBorder="1" applyAlignment="1">
      <alignment vertical="top"/>
    </xf>
    <xf numFmtId="0" fontId="5" fillId="0" borderId="1" xfId="0" applyFont="1" applyBorder="1" applyAlignment="1" applyProtection="1">
      <alignment horizontal="center" vertical="top"/>
      <protection locked="0"/>
    </xf>
    <xf numFmtId="2" fontId="5" fillId="0" borderId="1" xfId="0" applyNumberFormat="1" applyFont="1" applyBorder="1" applyAlignment="1" applyProtection="1">
      <alignment vertical="top"/>
      <protection locked="0"/>
    </xf>
    <xf numFmtId="0" fontId="6" fillId="0" borderId="8" xfId="0" applyFont="1" applyBorder="1" applyAlignment="1">
      <alignment horizontal="right"/>
    </xf>
    <xf numFmtId="0" fontId="6" fillId="0" borderId="9" xfId="0" applyFont="1" applyBorder="1" applyAlignment="1">
      <alignment horizontal="right"/>
    </xf>
    <xf numFmtId="0" fontId="6" fillId="0" borderId="10" xfId="0" applyFont="1" applyBorder="1" applyAlignment="1">
      <alignment horizontal="right"/>
    </xf>
    <xf numFmtId="0" fontId="6" fillId="0" borderId="11" xfId="0" applyFont="1" applyBorder="1" applyAlignment="1">
      <alignment horizontal="right"/>
    </xf>
    <xf numFmtId="0" fontId="0" fillId="0" borderId="12" xfId="0" applyBorder="1" applyAlignment="1"/>
    <xf numFmtId="0" fontId="0" fillId="0" borderId="13" xfId="0" applyBorder="1" applyAlignment="1"/>
    <xf numFmtId="0" fontId="6" fillId="0" borderId="14" xfId="0" applyFont="1" applyBorder="1" applyAlignment="1">
      <alignment horizontal="right"/>
    </xf>
    <xf numFmtId="0" fontId="6" fillId="0" borderId="15" xfId="0" applyFont="1" applyBorder="1" applyAlignment="1">
      <alignment horizontal="right"/>
    </xf>
    <xf numFmtId="0" fontId="0" fillId="0" borderId="4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25400</xdr:rowOff>
    </xdr:from>
    <xdr:to>
      <xdr:col>0</xdr:col>
      <xdr:colOff>3835400</xdr:colOff>
      <xdr:row>3</xdr:row>
      <xdr:rowOff>19050</xdr:rowOff>
    </xdr:to>
    <xdr:pic>
      <xdr:nvPicPr>
        <xdr:cNvPr id="2" name="Рисунок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3810000" cy="812800"/>
        </a:xfrm>
        <a:prstGeom prst="rect">
          <a:avLst/>
        </a:prstGeom>
      </xdr:spPr>
    </xdr:pic>
    <xdr:clientData/>
  </xdr:twoCellAnchor>
  <xdr:twoCellAnchor editAs="oneCell">
    <xdr:from>
      <xdr:col>12</xdr:col>
      <xdr:colOff>168275</xdr:colOff>
      <xdr:row>0</xdr:row>
      <xdr:rowOff>25400</xdr:rowOff>
    </xdr:from>
    <xdr:to>
      <xdr:col>25</xdr:col>
      <xdr:colOff>123825</xdr:colOff>
      <xdr:row>3</xdr:row>
      <xdr:rowOff>19050</xdr:rowOff>
    </xdr:to>
    <xdr:pic>
      <xdr:nvPicPr>
        <xdr:cNvPr id="3" name="Рисунок 2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4000" y="25400"/>
          <a:ext cx="3175000" cy="812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25400</xdr:rowOff>
    </xdr:from>
    <xdr:to>
      <xdr:col>0</xdr:col>
      <xdr:colOff>3835400</xdr:colOff>
      <xdr:row>3</xdr:row>
      <xdr:rowOff>19050</xdr:rowOff>
    </xdr:to>
    <xdr:pic>
      <xdr:nvPicPr>
        <xdr:cNvPr id="2" name="Рисунок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3810000" cy="812800"/>
        </a:xfrm>
        <a:prstGeom prst="rect">
          <a:avLst/>
        </a:prstGeom>
      </xdr:spPr>
    </xdr:pic>
    <xdr:clientData/>
  </xdr:twoCellAnchor>
  <xdr:twoCellAnchor editAs="oneCell">
    <xdr:from>
      <xdr:col>12</xdr:col>
      <xdr:colOff>168275</xdr:colOff>
      <xdr:row>0</xdr:row>
      <xdr:rowOff>25400</xdr:rowOff>
    </xdr:from>
    <xdr:to>
      <xdr:col>25</xdr:col>
      <xdr:colOff>123825</xdr:colOff>
      <xdr:row>3</xdr:row>
      <xdr:rowOff>19050</xdr:rowOff>
    </xdr:to>
    <xdr:pic>
      <xdr:nvPicPr>
        <xdr:cNvPr id="3" name="Рисунок 2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4000" y="25400"/>
          <a:ext cx="3175000" cy="81280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25400</xdr:rowOff>
    </xdr:from>
    <xdr:to>
      <xdr:col>0</xdr:col>
      <xdr:colOff>3835400</xdr:colOff>
      <xdr:row>3</xdr:row>
      <xdr:rowOff>19050</xdr:rowOff>
    </xdr:to>
    <xdr:pic>
      <xdr:nvPicPr>
        <xdr:cNvPr id="2" name="Рисунок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3810000" cy="812800"/>
        </a:xfrm>
        <a:prstGeom prst="rect">
          <a:avLst/>
        </a:prstGeom>
      </xdr:spPr>
    </xdr:pic>
    <xdr:clientData/>
  </xdr:twoCellAnchor>
  <xdr:twoCellAnchor editAs="oneCell">
    <xdr:from>
      <xdr:col>12</xdr:col>
      <xdr:colOff>168275</xdr:colOff>
      <xdr:row>0</xdr:row>
      <xdr:rowOff>25400</xdr:rowOff>
    </xdr:from>
    <xdr:to>
      <xdr:col>25</xdr:col>
      <xdr:colOff>123825</xdr:colOff>
      <xdr:row>3</xdr:row>
      <xdr:rowOff>19050</xdr:rowOff>
    </xdr:to>
    <xdr:pic>
      <xdr:nvPicPr>
        <xdr:cNvPr id="3" name="Рисунок 2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4000" y="25400"/>
          <a:ext cx="3175000" cy="812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25400</xdr:rowOff>
    </xdr:from>
    <xdr:to>
      <xdr:col>0</xdr:col>
      <xdr:colOff>3835400</xdr:colOff>
      <xdr:row>3</xdr:row>
      <xdr:rowOff>19050</xdr:rowOff>
    </xdr:to>
    <xdr:pic>
      <xdr:nvPicPr>
        <xdr:cNvPr id="2" name="Рисунок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3810000" cy="812800"/>
        </a:xfrm>
        <a:prstGeom prst="rect">
          <a:avLst/>
        </a:prstGeom>
      </xdr:spPr>
    </xdr:pic>
    <xdr:clientData/>
  </xdr:twoCellAnchor>
  <xdr:twoCellAnchor editAs="oneCell">
    <xdr:from>
      <xdr:col>12</xdr:col>
      <xdr:colOff>168275</xdr:colOff>
      <xdr:row>0</xdr:row>
      <xdr:rowOff>25400</xdr:rowOff>
    </xdr:from>
    <xdr:to>
      <xdr:col>25</xdr:col>
      <xdr:colOff>123825</xdr:colOff>
      <xdr:row>3</xdr:row>
      <xdr:rowOff>19050</xdr:rowOff>
    </xdr:to>
    <xdr:pic>
      <xdr:nvPicPr>
        <xdr:cNvPr id="3" name="Рисунок 2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4000" y="25400"/>
          <a:ext cx="3175000" cy="81280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25400</xdr:rowOff>
    </xdr:from>
    <xdr:to>
      <xdr:col>0</xdr:col>
      <xdr:colOff>3835400</xdr:colOff>
      <xdr:row>3</xdr:row>
      <xdr:rowOff>19050</xdr:rowOff>
    </xdr:to>
    <xdr:pic>
      <xdr:nvPicPr>
        <xdr:cNvPr id="2" name="Рисунок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3810000" cy="812800"/>
        </a:xfrm>
        <a:prstGeom prst="rect">
          <a:avLst/>
        </a:prstGeom>
      </xdr:spPr>
    </xdr:pic>
    <xdr:clientData/>
  </xdr:twoCellAnchor>
  <xdr:twoCellAnchor editAs="oneCell">
    <xdr:from>
      <xdr:col>12</xdr:col>
      <xdr:colOff>168275</xdr:colOff>
      <xdr:row>0</xdr:row>
      <xdr:rowOff>25400</xdr:rowOff>
    </xdr:from>
    <xdr:to>
      <xdr:col>25</xdr:col>
      <xdr:colOff>123825</xdr:colOff>
      <xdr:row>3</xdr:row>
      <xdr:rowOff>19050</xdr:rowOff>
    </xdr:to>
    <xdr:pic>
      <xdr:nvPicPr>
        <xdr:cNvPr id="3" name="Рисунок 2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4000" y="25400"/>
          <a:ext cx="3175000" cy="81280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25400</xdr:rowOff>
    </xdr:from>
    <xdr:to>
      <xdr:col>0</xdr:col>
      <xdr:colOff>3835400</xdr:colOff>
      <xdr:row>3</xdr:row>
      <xdr:rowOff>19050</xdr:rowOff>
    </xdr:to>
    <xdr:pic>
      <xdr:nvPicPr>
        <xdr:cNvPr id="2" name="Рисунок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3810000" cy="812800"/>
        </a:xfrm>
        <a:prstGeom prst="rect">
          <a:avLst/>
        </a:prstGeom>
      </xdr:spPr>
    </xdr:pic>
    <xdr:clientData/>
  </xdr:twoCellAnchor>
  <xdr:twoCellAnchor editAs="oneCell">
    <xdr:from>
      <xdr:col>12</xdr:col>
      <xdr:colOff>168275</xdr:colOff>
      <xdr:row>0</xdr:row>
      <xdr:rowOff>25400</xdr:rowOff>
    </xdr:from>
    <xdr:to>
      <xdr:col>25</xdr:col>
      <xdr:colOff>123825</xdr:colOff>
      <xdr:row>3</xdr:row>
      <xdr:rowOff>19050</xdr:rowOff>
    </xdr:to>
    <xdr:pic>
      <xdr:nvPicPr>
        <xdr:cNvPr id="3" name="Рисунок 2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4000" y="25400"/>
          <a:ext cx="3175000" cy="812800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25400</xdr:colOff>
      <xdr:row>0</xdr:row>
      <xdr:rowOff>25400</xdr:rowOff>
    </xdr:from>
    <xdr:to>
      <xdr:col>0</xdr:col>
      <xdr:colOff>3835400</xdr:colOff>
      <xdr:row>3</xdr:row>
      <xdr:rowOff>19050</xdr:rowOff>
    </xdr:to>
    <xdr:pic>
      <xdr:nvPicPr>
        <xdr:cNvPr id="2" name="Рисунок 1"/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5400" y="25400"/>
          <a:ext cx="3810000" cy="812800"/>
        </a:xfrm>
        <a:prstGeom prst="rect">
          <a:avLst/>
        </a:prstGeom>
      </xdr:spPr>
    </xdr:pic>
    <xdr:clientData/>
  </xdr:twoCellAnchor>
  <xdr:twoCellAnchor editAs="oneCell">
    <xdr:from>
      <xdr:col>12</xdr:col>
      <xdr:colOff>168275</xdr:colOff>
      <xdr:row>0</xdr:row>
      <xdr:rowOff>25400</xdr:rowOff>
    </xdr:from>
    <xdr:to>
      <xdr:col>25</xdr:col>
      <xdr:colOff>123825</xdr:colOff>
      <xdr:row>3</xdr:row>
      <xdr:rowOff>19050</xdr:rowOff>
    </xdr:to>
    <xdr:pic>
      <xdr:nvPicPr>
        <xdr:cNvPr id="3" name="Рисунок 2"/>
        <xdr:cNvPicPr>
          <a:picLocks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874000" y="25400"/>
          <a:ext cx="3175000" cy="812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3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3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Relationship Id="rId4" Type="http://schemas.openxmlformats.org/officeDocument/2006/relationships/comments" Target="../comments4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Relationship Id="rId4" Type="http://schemas.openxmlformats.org/officeDocument/2006/relationships/comments" Target="../comments6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Relationship Id="rId4" Type="http://schemas.openxmlformats.org/officeDocument/2006/relationships/comments" Target="../comments7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220"/>
  <sheetViews>
    <sheetView workbookViewId="0">
      <pane xSplit="2" ySplit="8" topLeftCell="C9" activePane="bottomRight" state="frozenSplit"/>
      <selection pane="bottomLeft" activeCell="A9" sqref="A9"/>
      <selection pane="topRight" activeCell="C1" sqref="C1"/>
      <selection pane="bottomRight" sqref="A1:B4"/>
    </sheetView>
  </sheetViews>
  <sheetFormatPr defaultRowHeight="15" x14ac:dyDescent="0.25"/>
  <cols>
    <col min="1" max="1" width="70.7109375" customWidth="1"/>
    <col min="2" max="2" width="7.7109375" customWidth="1"/>
    <col min="3" max="52" width="3.7109375" customWidth="1"/>
    <col min="53" max="53" width="5.7109375" customWidth="1"/>
    <col min="54" max="54" width="20.7109375" customWidth="1"/>
  </cols>
  <sheetData>
    <row r="1" spans="1:54" ht="35.1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</row>
    <row r="2" spans="1:54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spans="1:5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spans="1:54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spans="1:54" ht="20.100000000000001" customHeight="1" x14ac:dyDescent="0.25">
      <c r="C5" s="3" t="s">
        <v>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5" t="s">
        <v>5</v>
      </c>
      <c r="BB5" s="6" t="s">
        <v>6</v>
      </c>
    </row>
    <row r="6" spans="1:54" ht="20.100000000000001" customHeight="1" x14ac:dyDescent="0.25">
      <c r="C6" s="3" t="s">
        <v>3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5"/>
      <c r="BB6" s="6"/>
    </row>
    <row r="7" spans="1:54" ht="20.100000000000001" customHeight="1" x14ac:dyDescent="0.25">
      <c r="C7" s="3" t="s">
        <v>4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5"/>
      <c r="BB7" s="6"/>
    </row>
    <row r="8" spans="1:54" ht="14.1" customHeight="1" x14ac:dyDescent="0.25">
      <c r="A8" s="7" t="s">
        <v>0</v>
      </c>
      <c r="B8" s="8" t="s">
        <v>1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8"/>
      <c r="BB8" s="8"/>
    </row>
    <row r="9" spans="1:54" x14ac:dyDescent="0.25">
      <c r="A9" s="10" t="s">
        <v>7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</row>
    <row r="10" spans="1:54" ht="14.1" customHeight="1" x14ac:dyDescent="0.25">
      <c r="A10" s="12" t="s">
        <v>8</v>
      </c>
      <c r="B10" s="13">
        <v>127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5">
        <f>SUM(C10:AZ10)</f>
        <v>0</v>
      </c>
      <c r="BB10" s="13">
        <f>BA10*B10</f>
        <v>0</v>
      </c>
    </row>
    <row r="11" spans="1:54" ht="14.1" customHeight="1" x14ac:dyDescent="0.25">
      <c r="A11" s="12" t="s">
        <v>9</v>
      </c>
      <c r="B11" s="13">
        <v>127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5">
        <f>SUM(C11:AZ11)</f>
        <v>0</v>
      </c>
      <c r="BB11" s="13">
        <f>BA11*B11</f>
        <v>0</v>
      </c>
    </row>
    <row r="12" spans="1:54" ht="14.1" customHeight="1" x14ac:dyDescent="0.25">
      <c r="A12" s="12" t="s">
        <v>10</v>
      </c>
      <c r="B12" s="13">
        <v>105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5">
        <f>SUM(C12:AZ12)</f>
        <v>0</v>
      </c>
      <c r="BB12" s="13">
        <f>BA12*B12</f>
        <v>0</v>
      </c>
    </row>
    <row r="13" spans="1:54" ht="14.1" customHeight="1" x14ac:dyDescent="0.25">
      <c r="A13" s="12" t="s">
        <v>11</v>
      </c>
      <c r="B13" s="13">
        <v>149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5">
        <f>SUM(C13:AZ13)</f>
        <v>0</v>
      </c>
      <c r="BB13" s="13">
        <f>BA13*B13</f>
        <v>0</v>
      </c>
    </row>
    <row r="14" spans="1:54" ht="14.1" customHeight="1" x14ac:dyDescent="0.25">
      <c r="A14" s="12" t="s">
        <v>12</v>
      </c>
      <c r="B14" s="13">
        <v>149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5">
        <f>SUM(C14:AZ14)</f>
        <v>0</v>
      </c>
      <c r="BB14" s="13">
        <f>BA14*B14</f>
        <v>0</v>
      </c>
    </row>
    <row r="15" spans="1:54" ht="14.1" customHeight="1" x14ac:dyDescent="0.25">
      <c r="A15" s="12" t="s">
        <v>13</v>
      </c>
      <c r="B15" s="13">
        <v>135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5">
        <f>SUM(C15:AZ15)</f>
        <v>0</v>
      </c>
      <c r="BB15" s="13">
        <f>BA15*B15</f>
        <v>0</v>
      </c>
    </row>
    <row r="16" spans="1:54" ht="14.1" customHeight="1" x14ac:dyDescent="0.25">
      <c r="A16" s="12" t="s">
        <v>14</v>
      </c>
      <c r="B16" s="13">
        <v>135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5">
        <f>SUM(C16:AZ16)</f>
        <v>0</v>
      </c>
      <c r="BB16" s="13">
        <f>BA16*B16</f>
        <v>0</v>
      </c>
    </row>
    <row r="17" spans="1:54" ht="14.1" customHeight="1" x14ac:dyDescent="0.25">
      <c r="A17" s="12" t="s">
        <v>15</v>
      </c>
      <c r="B17" s="13">
        <v>135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5">
        <f>SUM(C17:AZ17)</f>
        <v>0</v>
      </c>
      <c r="BB17" s="13">
        <f>BA17*B17</f>
        <v>0</v>
      </c>
    </row>
    <row r="18" spans="1:54" ht="14.1" customHeight="1" x14ac:dyDescent="0.25">
      <c r="A18" s="12" t="s">
        <v>16</v>
      </c>
      <c r="B18" s="13">
        <v>142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5">
        <f>SUM(C18:AZ18)</f>
        <v>0</v>
      </c>
      <c r="BB18" s="13">
        <f>BA18*B18</f>
        <v>0</v>
      </c>
    </row>
    <row r="19" spans="1:54" ht="14.1" customHeight="1" x14ac:dyDescent="0.25">
      <c r="A19" s="12" t="s">
        <v>17</v>
      </c>
      <c r="B19" s="13">
        <v>135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5">
        <f>SUM(C19:AZ19)</f>
        <v>0</v>
      </c>
      <c r="BB19" s="13">
        <f>BA19*B19</f>
        <v>0</v>
      </c>
    </row>
    <row r="20" spans="1:54" ht="14.1" customHeight="1" x14ac:dyDescent="0.25">
      <c r="A20" s="12" t="s">
        <v>18</v>
      </c>
      <c r="B20" s="13">
        <v>157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5">
        <f>SUM(C20:AZ20)</f>
        <v>0</v>
      </c>
      <c r="BB20" s="13">
        <f>BA20*B20</f>
        <v>0</v>
      </c>
    </row>
    <row r="21" spans="1:54" ht="14.1" customHeight="1" x14ac:dyDescent="0.25">
      <c r="A21" s="12" t="s">
        <v>19</v>
      </c>
      <c r="B21" s="13">
        <v>112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5">
        <f>SUM(C21:AZ21)</f>
        <v>0</v>
      </c>
      <c r="BB21" s="13">
        <f>BA21*B21</f>
        <v>0</v>
      </c>
    </row>
    <row r="22" spans="1:54" ht="14.1" customHeight="1" x14ac:dyDescent="0.25">
      <c r="A22" s="12" t="s">
        <v>20</v>
      </c>
      <c r="B22" s="13">
        <v>268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5">
        <f>SUM(C22:AZ22)</f>
        <v>0</v>
      </c>
      <c r="BB22" s="13">
        <f>BA22*B22</f>
        <v>0</v>
      </c>
    </row>
    <row r="23" spans="1:54" ht="14.1" customHeight="1" x14ac:dyDescent="0.25">
      <c r="A23" s="12" t="s">
        <v>21</v>
      </c>
      <c r="B23" s="13">
        <v>268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5">
        <f>SUM(C23:AZ23)</f>
        <v>0</v>
      </c>
      <c r="BB23" s="13">
        <f>BA23*B23</f>
        <v>0</v>
      </c>
    </row>
    <row r="24" spans="1:54" ht="14.1" customHeight="1" x14ac:dyDescent="0.25">
      <c r="A24" s="12" t="s">
        <v>22</v>
      </c>
      <c r="B24" s="13">
        <v>268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5">
        <f>SUM(C24:AZ24)</f>
        <v>0</v>
      </c>
      <c r="BB24" s="13">
        <f>BA24*B24</f>
        <v>0</v>
      </c>
    </row>
    <row r="25" spans="1:54" ht="14.1" customHeight="1" x14ac:dyDescent="0.25">
      <c r="A25" s="12" t="s">
        <v>23</v>
      </c>
      <c r="B25" s="13">
        <v>230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5">
        <f>SUM(C25:AZ25)</f>
        <v>0</v>
      </c>
      <c r="BB25" s="13">
        <f>BA25*B25</f>
        <v>0</v>
      </c>
    </row>
    <row r="26" spans="1:54" ht="14.1" customHeight="1" x14ac:dyDescent="0.25">
      <c r="A26" s="12" t="s">
        <v>24</v>
      </c>
      <c r="B26" s="13">
        <v>253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5">
        <f>SUM(C26:AZ26)</f>
        <v>0</v>
      </c>
      <c r="BB26" s="13">
        <f>BA26*B26</f>
        <v>0</v>
      </c>
    </row>
    <row r="27" spans="1:54" ht="14.1" customHeight="1" x14ac:dyDescent="0.25">
      <c r="A27" s="12" t="s">
        <v>25</v>
      </c>
      <c r="B27" s="13">
        <v>142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5">
        <f>SUM(C27:AZ27)</f>
        <v>0</v>
      </c>
      <c r="BB27" s="13">
        <f>BA27*B27</f>
        <v>0</v>
      </c>
    </row>
    <row r="28" spans="1:54" ht="14.1" customHeight="1" x14ac:dyDescent="0.25">
      <c r="A28" s="12" t="s">
        <v>26</v>
      </c>
      <c r="B28" s="13">
        <v>136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5">
        <f>SUM(C28:AZ28)</f>
        <v>0</v>
      </c>
      <c r="BB28" s="13">
        <f>BA28*B28</f>
        <v>0</v>
      </c>
    </row>
    <row r="29" spans="1:54" ht="14.1" customHeight="1" x14ac:dyDescent="0.25">
      <c r="A29" s="12" t="s">
        <v>27</v>
      </c>
      <c r="B29" s="13">
        <v>164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5">
        <f>SUM(C29:AZ29)</f>
        <v>0</v>
      </c>
      <c r="BB29" s="13">
        <f>BA29*B29</f>
        <v>0</v>
      </c>
    </row>
    <row r="30" spans="1:54" ht="14.1" customHeight="1" x14ac:dyDescent="0.25">
      <c r="A30" s="12" t="s">
        <v>28</v>
      </c>
      <c r="B30" s="13">
        <v>123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5">
        <f>SUM(C30:AZ30)</f>
        <v>0</v>
      </c>
      <c r="BB30" s="13">
        <f>BA30*B30</f>
        <v>0</v>
      </c>
    </row>
    <row r="31" spans="1:54" ht="14.1" customHeight="1" x14ac:dyDescent="0.25">
      <c r="A31" s="12" t="s">
        <v>29</v>
      </c>
      <c r="B31" s="13">
        <v>224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5">
        <f>SUM(C31:AZ31)</f>
        <v>0</v>
      </c>
      <c r="BB31" s="13">
        <f>BA31*B31</f>
        <v>0</v>
      </c>
    </row>
    <row r="32" spans="1:54" x14ac:dyDescent="0.25">
      <c r="A32" s="10" t="s">
        <v>30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</row>
    <row r="33" spans="1:54" ht="14.1" customHeight="1" x14ac:dyDescent="0.25">
      <c r="A33" s="12" t="s">
        <v>31</v>
      </c>
      <c r="B33" s="13">
        <v>184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5">
        <f>SUM(C33:AZ33)</f>
        <v>0</v>
      </c>
      <c r="BB33" s="13">
        <f>BA33*B33</f>
        <v>0</v>
      </c>
    </row>
    <row r="34" spans="1:54" ht="14.1" customHeight="1" x14ac:dyDescent="0.25">
      <c r="A34" s="12" t="s">
        <v>32</v>
      </c>
      <c r="B34" s="13">
        <v>173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5">
        <f>SUM(C34:AZ34)</f>
        <v>0</v>
      </c>
      <c r="BB34" s="13">
        <f>BA34*B34</f>
        <v>0</v>
      </c>
    </row>
    <row r="35" spans="1:54" ht="14.1" customHeight="1" x14ac:dyDescent="0.25">
      <c r="A35" s="12" t="s">
        <v>33</v>
      </c>
      <c r="B35" s="13">
        <v>142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5">
        <f>SUM(C35:AZ35)</f>
        <v>0</v>
      </c>
      <c r="BB35" s="13">
        <f>BA35*B35</f>
        <v>0</v>
      </c>
    </row>
    <row r="36" spans="1:54" ht="14.1" customHeight="1" x14ac:dyDescent="0.25">
      <c r="A36" s="12" t="s">
        <v>34</v>
      </c>
      <c r="B36" s="13">
        <v>142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5">
        <f>SUM(C36:AZ36)</f>
        <v>0</v>
      </c>
      <c r="BB36" s="13">
        <f>BA36*B36</f>
        <v>0</v>
      </c>
    </row>
    <row r="37" spans="1:54" ht="14.1" customHeight="1" x14ac:dyDescent="0.25">
      <c r="A37" s="12" t="s">
        <v>35</v>
      </c>
      <c r="B37" s="13">
        <v>142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5">
        <f>SUM(C37:AZ37)</f>
        <v>0</v>
      </c>
      <c r="BB37" s="13">
        <f>BA37*B37</f>
        <v>0</v>
      </c>
    </row>
    <row r="38" spans="1:54" ht="14.1" customHeight="1" x14ac:dyDescent="0.25">
      <c r="A38" s="12" t="s">
        <v>36</v>
      </c>
      <c r="B38" s="13">
        <v>149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5">
        <f>SUM(C38:AZ38)</f>
        <v>0</v>
      </c>
      <c r="BB38" s="13">
        <f>BA38*B38</f>
        <v>0</v>
      </c>
    </row>
    <row r="39" spans="1:54" ht="14.1" customHeight="1" x14ac:dyDescent="0.25">
      <c r="A39" s="12" t="s">
        <v>37</v>
      </c>
      <c r="B39" s="13">
        <v>151</v>
      </c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5">
        <f>SUM(C39:AZ39)</f>
        <v>0</v>
      </c>
      <c r="BB39" s="13">
        <f>BA39*B39</f>
        <v>0</v>
      </c>
    </row>
    <row r="40" spans="1:54" ht="14.1" customHeight="1" x14ac:dyDescent="0.25">
      <c r="A40" s="12" t="s">
        <v>38</v>
      </c>
      <c r="B40" s="13">
        <v>124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5">
        <f>SUM(C40:AZ40)</f>
        <v>0</v>
      </c>
      <c r="BB40" s="13">
        <f>BA40*B40</f>
        <v>0</v>
      </c>
    </row>
    <row r="41" spans="1:54" ht="14.1" customHeight="1" x14ac:dyDescent="0.25">
      <c r="A41" s="12" t="s">
        <v>39</v>
      </c>
      <c r="B41" s="13">
        <v>124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5">
        <f>SUM(C41:AZ41)</f>
        <v>0</v>
      </c>
      <c r="BB41" s="13">
        <f>BA41*B41</f>
        <v>0</v>
      </c>
    </row>
    <row r="42" spans="1:54" ht="14.1" customHeight="1" x14ac:dyDescent="0.25">
      <c r="A42" s="12" t="s">
        <v>40</v>
      </c>
      <c r="B42" s="13">
        <v>135</v>
      </c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5">
        <f>SUM(C42:AZ42)</f>
        <v>0</v>
      </c>
      <c r="BB42" s="13">
        <f>BA42*B42</f>
        <v>0</v>
      </c>
    </row>
    <row r="43" spans="1:54" ht="14.1" customHeight="1" x14ac:dyDescent="0.25">
      <c r="A43" s="12" t="s">
        <v>41</v>
      </c>
      <c r="B43" s="13">
        <v>138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5">
        <f>SUM(C43:AZ43)</f>
        <v>0</v>
      </c>
      <c r="BB43" s="13">
        <f>BA43*B43</f>
        <v>0</v>
      </c>
    </row>
    <row r="44" spans="1:54" ht="14.1" customHeight="1" x14ac:dyDescent="0.25">
      <c r="A44" s="12" t="s">
        <v>42</v>
      </c>
      <c r="B44" s="13">
        <v>130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5">
        <f>SUM(C44:AZ44)</f>
        <v>0</v>
      </c>
      <c r="BB44" s="13">
        <f>BA44*B44</f>
        <v>0</v>
      </c>
    </row>
    <row r="45" spans="1:54" ht="14.1" customHeight="1" x14ac:dyDescent="0.25">
      <c r="A45" s="12" t="s">
        <v>43</v>
      </c>
      <c r="B45" s="13">
        <v>137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5">
        <f>SUM(C45:AZ45)</f>
        <v>0</v>
      </c>
      <c r="BB45" s="13">
        <f>BA45*B45</f>
        <v>0</v>
      </c>
    </row>
    <row r="46" spans="1:54" x14ac:dyDescent="0.25">
      <c r="A46" s="10" t="s">
        <v>44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</row>
    <row r="47" spans="1:54" ht="14.1" customHeight="1" x14ac:dyDescent="0.25">
      <c r="A47" s="12" t="s">
        <v>45</v>
      </c>
      <c r="B47" s="13">
        <v>154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5">
        <f>SUM(C47:AZ47)</f>
        <v>0</v>
      </c>
      <c r="BB47" s="13">
        <f>BA47*B47</f>
        <v>0</v>
      </c>
    </row>
    <row r="48" spans="1:54" ht="14.1" customHeight="1" x14ac:dyDescent="0.25">
      <c r="A48" s="12" t="s">
        <v>46</v>
      </c>
      <c r="B48" s="13">
        <v>142</v>
      </c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5">
        <f>SUM(C48:AZ48)</f>
        <v>0</v>
      </c>
      <c r="BB48" s="13">
        <f>BA48*B48</f>
        <v>0</v>
      </c>
    </row>
    <row r="49" spans="1:54" x14ac:dyDescent="0.25">
      <c r="A49" s="10" t="s">
        <v>47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</row>
    <row r="50" spans="1:54" ht="14.1" customHeight="1" x14ac:dyDescent="0.25">
      <c r="A50" s="12" t="s">
        <v>48</v>
      </c>
      <c r="B50" s="13">
        <v>245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5">
        <f>SUM(C50:AZ50)</f>
        <v>0</v>
      </c>
      <c r="BB50" s="13">
        <f>BA50*B50</f>
        <v>0</v>
      </c>
    </row>
    <row r="51" spans="1:54" ht="14.1" customHeight="1" x14ac:dyDescent="0.25">
      <c r="A51" s="12" t="s">
        <v>49</v>
      </c>
      <c r="B51" s="13">
        <v>273</v>
      </c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5">
        <f>SUM(C51:AZ51)</f>
        <v>0</v>
      </c>
      <c r="BB51" s="13">
        <f>BA51*B51</f>
        <v>0</v>
      </c>
    </row>
    <row r="52" spans="1:54" ht="14.1" customHeight="1" x14ac:dyDescent="0.25">
      <c r="A52" s="12" t="s">
        <v>50</v>
      </c>
      <c r="B52" s="13">
        <v>178</v>
      </c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5">
        <f>SUM(C52:AZ52)</f>
        <v>0</v>
      </c>
      <c r="BB52" s="13">
        <f>BA52*B52</f>
        <v>0</v>
      </c>
    </row>
    <row r="53" spans="1:54" ht="14.1" customHeight="1" x14ac:dyDescent="0.25">
      <c r="A53" s="12" t="s">
        <v>51</v>
      </c>
      <c r="B53" s="13">
        <v>202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5">
        <f>SUM(C53:AZ53)</f>
        <v>0</v>
      </c>
      <c r="BB53" s="13">
        <f>BA53*B53</f>
        <v>0</v>
      </c>
    </row>
    <row r="54" spans="1:54" ht="14.1" customHeight="1" x14ac:dyDescent="0.25">
      <c r="A54" s="12" t="s">
        <v>52</v>
      </c>
      <c r="B54" s="13">
        <v>178</v>
      </c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5">
        <f>SUM(C54:AZ54)</f>
        <v>0</v>
      </c>
      <c r="BB54" s="13">
        <f>BA54*B54</f>
        <v>0</v>
      </c>
    </row>
    <row r="55" spans="1:54" ht="14.1" customHeight="1" x14ac:dyDescent="0.25">
      <c r="A55" s="12" t="s">
        <v>53</v>
      </c>
      <c r="B55" s="13">
        <v>219</v>
      </c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5">
        <f>SUM(C55:AZ55)</f>
        <v>0</v>
      </c>
      <c r="BB55" s="13">
        <f>BA55*B55</f>
        <v>0</v>
      </c>
    </row>
    <row r="56" spans="1:54" ht="14.1" customHeight="1" x14ac:dyDescent="0.25">
      <c r="A56" s="12" t="s">
        <v>54</v>
      </c>
      <c r="B56" s="13">
        <v>205</v>
      </c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5">
        <f>SUM(C56:AZ56)</f>
        <v>0</v>
      </c>
      <c r="BB56" s="13">
        <f>BA56*B56</f>
        <v>0</v>
      </c>
    </row>
    <row r="57" spans="1:54" ht="14.1" customHeight="1" x14ac:dyDescent="0.25">
      <c r="A57" s="12" t="s">
        <v>55</v>
      </c>
      <c r="B57" s="13">
        <v>219</v>
      </c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5">
        <f>SUM(C57:AZ57)</f>
        <v>0</v>
      </c>
      <c r="BB57" s="13">
        <f>BA57*B57</f>
        <v>0</v>
      </c>
    </row>
    <row r="58" spans="1:54" ht="14.1" customHeight="1" x14ac:dyDescent="0.25">
      <c r="A58" s="12" t="s">
        <v>56</v>
      </c>
      <c r="B58" s="13">
        <v>205</v>
      </c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5">
        <f>SUM(C58:AZ58)</f>
        <v>0</v>
      </c>
      <c r="BB58" s="13">
        <f>BA58*B58</f>
        <v>0</v>
      </c>
    </row>
    <row r="59" spans="1:54" ht="14.1" customHeight="1" x14ac:dyDescent="0.25">
      <c r="A59" s="12" t="s">
        <v>57</v>
      </c>
      <c r="B59" s="13">
        <v>205</v>
      </c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5">
        <f>SUM(C59:AZ59)</f>
        <v>0</v>
      </c>
      <c r="BB59" s="13">
        <f>BA59*B59</f>
        <v>0</v>
      </c>
    </row>
    <row r="60" spans="1:54" ht="14.1" customHeight="1" x14ac:dyDescent="0.25">
      <c r="A60" s="12" t="s">
        <v>58</v>
      </c>
      <c r="B60" s="13">
        <v>219</v>
      </c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5">
        <f>SUM(C60:AZ60)</f>
        <v>0</v>
      </c>
      <c r="BB60" s="13">
        <f>BA60*B60</f>
        <v>0</v>
      </c>
    </row>
    <row r="61" spans="1:54" ht="14.1" customHeight="1" x14ac:dyDescent="0.25">
      <c r="A61" s="12" t="s">
        <v>59</v>
      </c>
      <c r="B61" s="13">
        <v>219</v>
      </c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5">
        <f>SUM(C61:AZ61)</f>
        <v>0</v>
      </c>
      <c r="BB61" s="13">
        <f>BA61*B61</f>
        <v>0</v>
      </c>
    </row>
    <row r="62" spans="1:54" ht="14.1" customHeight="1" x14ac:dyDescent="0.25">
      <c r="A62" s="12" t="s">
        <v>60</v>
      </c>
      <c r="B62" s="13">
        <v>219</v>
      </c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5">
        <f>SUM(C62:AZ62)</f>
        <v>0</v>
      </c>
      <c r="BB62" s="13">
        <f>BA62*B62</f>
        <v>0</v>
      </c>
    </row>
    <row r="63" spans="1:54" ht="14.1" customHeight="1" x14ac:dyDescent="0.25">
      <c r="A63" s="12" t="s">
        <v>61</v>
      </c>
      <c r="B63" s="13">
        <v>205</v>
      </c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5">
        <f>SUM(C63:AZ63)</f>
        <v>0</v>
      </c>
      <c r="BB63" s="13">
        <f>BA63*B63</f>
        <v>0</v>
      </c>
    </row>
    <row r="64" spans="1:54" ht="14.1" customHeight="1" x14ac:dyDescent="0.25">
      <c r="A64" s="12" t="s">
        <v>62</v>
      </c>
      <c r="B64" s="13">
        <v>219</v>
      </c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5">
        <f>SUM(C64:AZ64)</f>
        <v>0</v>
      </c>
      <c r="BB64" s="13">
        <f>BA64*B64</f>
        <v>0</v>
      </c>
    </row>
    <row r="65" spans="1:54" ht="14.1" customHeight="1" x14ac:dyDescent="0.25">
      <c r="A65" s="12" t="s">
        <v>63</v>
      </c>
      <c r="B65" s="13">
        <v>205</v>
      </c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5">
        <f>SUM(C65:AZ65)</f>
        <v>0</v>
      </c>
      <c r="BB65" s="13">
        <f>BA65*B65</f>
        <v>0</v>
      </c>
    </row>
    <row r="66" spans="1:54" ht="14.1" customHeight="1" x14ac:dyDescent="0.25">
      <c r="A66" s="12" t="s">
        <v>64</v>
      </c>
      <c r="B66" s="13">
        <v>226</v>
      </c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5">
        <f>SUM(C66:AZ66)</f>
        <v>0</v>
      </c>
      <c r="BB66" s="13">
        <f>BA66*B66</f>
        <v>0</v>
      </c>
    </row>
    <row r="67" spans="1:54" ht="14.1" customHeight="1" x14ac:dyDescent="0.25">
      <c r="A67" s="12" t="s">
        <v>65</v>
      </c>
      <c r="B67" s="13">
        <v>191</v>
      </c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5">
        <f>SUM(C67:AZ67)</f>
        <v>0</v>
      </c>
      <c r="BB67" s="13">
        <f>BA67*B67</f>
        <v>0</v>
      </c>
    </row>
    <row r="68" spans="1:54" ht="14.1" customHeight="1" x14ac:dyDescent="0.25">
      <c r="A68" s="12" t="s">
        <v>66</v>
      </c>
      <c r="B68" s="13">
        <v>212</v>
      </c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5">
        <f>SUM(C68:AZ68)</f>
        <v>0</v>
      </c>
      <c r="BB68" s="13">
        <f>BA68*B68</f>
        <v>0</v>
      </c>
    </row>
    <row r="69" spans="1:54" ht="14.1" customHeight="1" x14ac:dyDescent="0.25">
      <c r="A69" s="12" t="s">
        <v>67</v>
      </c>
      <c r="B69" s="13">
        <v>191</v>
      </c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5">
        <f>SUM(C69:AZ69)</f>
        <v>0</v>
      </c>
      <c r="BB69" s="13">
        <f>BA69*B69</f>
        <v>0</v>
      </c>
    </row>
    <row r="70" spans="1:54" ht="14.1" customHeight="1" x14ac:dyDescent="0.25">
      <c r="A70" s="12" t="s">
        <v>68</v>
      </c>
      <c r="B70" s="13">
        <v>212</v>
      </c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5">
        <f>SUM(C70:AZ70)</f>
        <v>0</v>
      </c>
      <c r="BB70" s="13">
        <f>BA70*B70</f>
        <v>0</v>
      </c>
    </row>
    <row r="71" spans="1:54" ht="14.1" customHeight="1" x14ac:dyDescent="0.25">
      <c r="A71" s="12" t="s">
        <v>69</v>
      </c>
      <c r="B71" s="13">
        <v>212</v>
      </c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5">
        <f>SUM(C71:AZ71)</f>
        <v>0</v>
      </c>
      <c r="BB71" s="13">
        <f>BA71*B71</f>
        <v>0</v>
      </c>
    </row>
    <row r="72" spans="1:54" ht="14.1" customHeight="1" x14ac:dyDescent="0.25">
      <c r="A72" s="12" t="s">
        <v>70</v>
      </c>
      <c r="B72" s="13">
        <v>219</v>
      </c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5">
        <f>SUM(C72:AZ72)</f>
        <v>0</v>
      </c>
      <c r="BB72" s="13">
        <f>BA72*B72</f>
        <v>0</v>
      </c>
    </row>
    <row r="73" spans="1:54" ht="14.1" customHeight="1" x14ac:dyDescent="0.25">
      <c r="A73" s="12" t="s">
        <v>71</v>
      </c>
      <c r="B73" s="13">
        <v>184</v>
      </c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5">
        <f>SUM(C73:AZ73)</f>
        <v>0</v>
      </c>
      <c r="BB73" s="13">
        <f>BA73*B73</f>
        <v>0</v>
      </c>
    </row>
    <row r="74" spans="1:54" ht="14.1" customHeight="1" x14ac:dyDescent="0.25">
      <c r="A74" s="12" t="s">
        <v>72</v>
      </c>
      <c r="B74" s="13">
        <v>219</v>
      </c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5">
        <f>SUM(C74:AZ74)</f>
        <v>0</v>
      </c>
      <c r="BB74" s="13">
        <f>BA74*B74</f>
        <v>0</v>
      </c>
    </row>
    <row r="75" spans="1:54" ht="14.1" customHeight="1" x14ac:dyDescent="0.25">
      <c r="A75" s="12" t="s">
        <v>73</v>
      </c>
      <c r="B75" s="13">
        <v>191</v>
      </c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5">
        <f>SUM(C75:AZ75)</f>
        <v>0</v>
      </c>
      <c r="BB75" s="13">
        <f>BA75*B75</f>
        <v>0</v>
      </c>
    </row>
    <row r="76" spans="1:54" ht="14.1" customHeight="1" x14ac:dyDescent="0.25">
      <c r="A76" s="12" t="s">
        <v>74</v>
      </c>
      <c r="B76" s="13">
        <v>233</v>
      </c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5">
        <f>SUM(C76:AZ76)</f>
        <v>0</v>
      </c>
      <c r="BB76" s="13">
        <f>BA76*B76</f>
        <v>0</v>
      </c>
    </row>
    <row r="77" spans="1:54" ht="14.1" customHeight="1" x14ac:dyDescent="0.25">
      <c r="A77" s="12" t="s">
        <v>75</v>
      </c>
      <c r="B77" s="13">
        <v>205</v>
      </c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5">
        <f>SUM(C77:AZ77)</f>
        <v>0</v>
      </c>
      <c r="BB77" s="13">
        <f>BA77*B77</f>
        <v>0</v>
      </c>
    </row>
    <row r="78" spans="1:54" ht="14.1" customHeight="1" x14ac:dyDescent="0.25">
      <c r="A78" s="12" t="s">
        <v>76</v>
      </c>
      <c r="B78" s="13">
        <v>219</v>
      </c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5">
        <f>SUM(C78:AZ78)</f>
        <v>0</v>
      </c>
      <c r="BB78" s="13">
        <f>BA78*B78</f>
        <v>0</v>
      </c>
    </row>
    <row r="79" spans="1:54" ht="14.1" customHeight="1" x14ac:dyDescent="0.25">
      <c r="A79" s="12" t="s">
        <v>77</v>
      </c>
      <c r="B79" s="13">
        <v>219</v>
      </c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5">
        <f>SUM(C79:AZ79)</f>
        <v>0</v>
      </c>
      <c r="BB79" s="13">
        <f>BA79*B79</f>
        <v>0</v>
      </c>
    </row>
    <row r="80" spans="1:54" ht="14.1" customHeight="1" x14ac:dyDescent="0.25">
      <c r="A80" s="12" t="s">
        <v>78</v>
      </c>
      <c r="B80" s="13">
        <v>273</v>
      </c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5">
        <f>SUM(C80:AZ80)</f>
        <v>0</v>
      </c>
      <c r="BB80" s="13">
        <f>BA80*B80</f>
        <v>0</v>
      </c>
    </row>
    <row r="81" spans="1:54" ht="14.1" customHeight="1" x14ac:dyDescent="0.25">
      <c r="A81" s="12" t="s">
        <v>79</v>
      </c>
      <c r="B81" s="13">
        <v>476</v>
      </c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5">
        <f>SUM(C81:AZ81)</f>
        <v>0</v>
      </c>
      <c r="BB81" s="13">
        <f>BA81*B81</f>
        <v>0</v>
      </c>
    </row>
    <row r="82" spans="1:54" ht="14.1" customHeight="1" x14ac:dyDescent="0.25">
      <c r="A82" s="12" t="s">
        <v>80</v>
      </c>
      <c r="B82" s="13">
        <v>205</v>
      </c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5">
        <f>SUM(C82:AZ82)</f>
        <v>0</v>
      </c>
      <c r="BB82" s="13">
        <f>BA82*B82</f>
        <v>0</v>
      </c>
    </row>
    <row r="83" spans="1:54" ht="14.1" customHeight="1" x14ac:dyDescent="0.25">
      <c r="A83" s="12" t="s">
        <v>81</v>
      </c>
      <c r="B83" s="13">
        <v>245</v>
      </c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5">
        <f>SUM(C83:AZ83)</f>
        <v>0</v>
      </c>
      <c r="BB83" s="13">
        <f>BA83*B83</f>
        <v>0</v>
      </c>
    </row>
    <row r="84" spans="1:54" ht="14.1" customHeight="1" x14ac:dyDescent="0.25">
      <c r="A84" s="12" t="s">
        <v>82</v>
      </c>
      <c r="B84" s="13">
        <v>219</v>
      </c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5">
        <f>SUM(C84:AZ84)</f>
        <v>0</v>
      </c>
      <c r="BB84" s="13">
        <f>BA84*B84</f>
        <v>0</v>
      </c>
    </row>
    <row r="85" spans="1:54" ht="14.1" customHeight="1" x14ac:dyDescent="0.25">
      <c r="A85" s="12" t="s">
        <v>83</v>
      </c>
      <c r="B85" s="13">
        <v>205</v>
      </c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5">
        <f>SUM(C85:AZ85)</f>
        <v>0</v>
      </c>
      <c r="BB85" s="13">
        <f>BA85*B85</f>
        <v>0</v>
      </c>
    </row>
    <row r="86" spans="1:54" ht="14.1" customHeight="1" x14ac:dyDescent="0.25">
      <c r="A86" s="12" t="s">
        <v>84</v>
      </c>
      <c r="B86" s="13">
        <v>224</v>
      </c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5">
        <f>SUM(C86:AZ86)</f>
        <v>0</v>
      </c>
      <c r="BB86" s="13">
        <f>BA86*B86</f>
        <v>0</v>
      </c>
    </row>
    <row r="87" spans="1:54" ht="14.1" customHeight="1" x14ac:dyDescent="0.25">
      <c r="A87" s="12" t="s">
        <v>85</v>
      </c>
      <c r="B87" s="13">
        <v>187</v>
      </c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5">
        <f>SUM(C87:AZ87)</f>
        <v>0</v>
      </c>
      <c r="BB87" s="13">
        <f>BA87*B87</f>
        <v>0</v>
      </c>
    </row>
    <row r="88" spans="1:54" ht="14.1" customHeight="1" x14ac:dyDescent="0.25">
      <c r="A88" s="12" t="s">
        <v>86</v>
      </c>
      <c r="B88" s="13">
        <v>178</v>
      </c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5">
        <f>SUM(C88:AZ88)</f>
        <v>0</v>
      </c>
      <c r="BB88" s="13">
        <f>BA88*B88</f>
        <v>0</v>
      </c>
    </row>
    <row r="89" spans="1:54" ht="14.1" customHeight="1" x14ac:dyDescent="0.25">
      <c r="A89" s="12" t="s">
        <v>87</v>
      </c>
      <c r="B89" s="13">
        <v>191</v>
      </c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5">
        <f>SUM(C89:AZ89)</f>
        <v>0</v>
      </c>
      <c r="BB89" s="13">
        <f>BA89*B89</f>
        <v>0</v>
      </c>
    </row>
    <row r="90" spans="1:54" ht="14.1" customHeight="1" x14ac:dyDescent="0.25">
      <c r="A90" s="12" t="s">
        <v>88</v>
      </c>
      <c r="B90" s="13">
        <v>233</v>
      </c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5">
        <f>SUM(C90:AZ90)</f>
        <v>0</v>
      </c>
      <c r="BB90" s="13">
        <f>BA90*B90</f>
        <v>0</v>
      </c>
    </row>
    <row r="91" spans="1:54" ht="14.1" customHeight="1" x14ac:dyDescent="0.25">
      <c r="A91" s="12" t="s">
        <v>89</v>
      </c>
      <c r="B91" s="13">
        <v>156</v>
      </c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5">
        <f>SUM(C91:AZ91)</f>
        <v>0</v>
      </c>
      <c r="BB91" s="13">
        <f>BA91*B91</f>
        <v>0</v>
      </c>
    </row>
    <row r="92" spans="1:54" ht="14.1" customHeight="1" x14ac:dyDescent="0.25">
      <c r="A92" s="12" t="s">
        <v>90</v>
      </c>
      <c r="B92" s="13">
        <v>219</v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5">
        <f>SUM(C92:AZ92)</f>
        <v>0</v>
      </c>
      <c r="BB92" s="13">
        <f>BA92*B92</f>
        <v>0</v>
      </c>
    </row>
    <row r="93" spans="1:54" ht="14.1" customHeight="1" x14ac:dyDescent="0.25">
      <c r="A93" s="12" t="s">
        <v>91</v>
      </c>
      <c r="B93" s="13">
        <v>164</v>
      </c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5">
        <f>SUM(C93:AZ93)</f>
        <v>0</v>
      </c>
      <c r="BB93" s="13">
        <f>BA93*B93</f>
        <v>0</v>
      </c>
    </row>
    <row r="94" spans="1:54" ht="14.1" customHeight="1" x14ac:dyDescent="0.25">
      <c r="A94" s="12" t="s">
        <v>92</v>
      </c>
      <c r="B94" s="13">
        <v>137</v>
      </c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5">
        <f>SUM(C94:AZ94)</f>
        <v>0</v>
      </c>
      <c r="BB94" s="13">
        <f>BA94*B94</f>
        <v>0</v>
      </c>
    </row>
    <row r="95" spans="1:54" ht="14.1" customHeight="1" x14ac:dyDescent="0.25">
      <c r="A95" s="12" t="s">
        <v>93</v>
      </c>
      <c r="B95" s="13">
        <v>178</v>
      </c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5">
        <f>SUM(C95:AZ95)</f>
        <v>0</v>
      </c>
      <c r="BB95" s="13">
        <f>BA95*B95</f>
        <v>0</v>
      </c>
    </row>
    <row r="96" spans="1:54" x14ac:dyDescent="0.25">
      <c r="A96" s="10" t="s">
        <v>94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</row>
    <row r="97" spans="1:54" ht="14.1" customHeight="1" x14ac:dyDescent="0.25">
      <c r="A97" s="12" t="s">
        <v>95</v>
      </c>
      <c r="B97" s="13">
        <v>102</v>
      </c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5">
        <f>SUM(C97:AZ97)</f>
        <v>0</v>
      </c>
      <c r="BB97" s="13">
        <f>BA97*B97</f>
        <v>0</v>
      </c>
    </row>
    <row r="98" spans="1:54" ht="14.1" customHeight="1" x14ac:dyDescent="0.25">
      <c r="A98" s="12" t="s">
        <v>96</v>
      </c>
      <c r="B98" s="13">
        <v>96</v>
      </c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5">
        <f>SUM(C98:AZ98)</f>
        <v>0</v>
      </c>
      <c r="BB98" s="13">
        <f>BA98*B98</f>
        <v>0</v>
      </c>
    </row>
    <row r="99" spans="1:54" ht="14.1" customHeight="1" x14ac:dyDescent="0.25">
      <c r="A99" s="12" t="s">
        <v>97</v>
      </c>
      <c r="B99" s="13">
        <v>96</v>
      </c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5">
        <f>SUM(C99:AZ99)</f>
        <v>0</v>
      </c>
      <c r="BB99" s="13">
        <f>BA99*B99</f>
        <v>0</v>
      </c>
    </row>
    <row r="100" spans="1:54" ht="14.1" customHeight="1" x14ac:dyDescent="0.25">
      <c r="A100" s="12" t="s">
        <v>98</v>
      </c>
      <c r="B100" s="13">
        <v>108</v>
      </c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5">
        <f>SUM(C100:AZ100)</f>
        <v>0</v>
      </c>
      <c r="BB100" s="13">
        <f>BA100*B100</f>
        <v>0</v>
      </c>
    </row>
    <row r="101" spans="1:54" x14ac:dyDescent="0.25">
      <c r="A101" s="10" t="s">
        <v>99</v>
      </c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</row>
    <row r="102" spans="1:54" ht="14.1" customHeight="1" x14ac:dyDescent="0.25">
      <c r="A102" s="12" t="s">
        <v>100</v>
      </c>
      <c r="B102" s="13">
        <v>96</v>
      </c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5">
        <f>SUM(C102:AZ102)</f>
        <v>0</v>
      </c>
      <c r="BB102" s="13">
        <f>BA102*B102</f>
        <v>0</v>
      </c>
    </row>
    <row r="103" spans="1:54" ht="14.1" customHeight="1" x14ac:dyDescent="0.25">
      <c r="A103" s="12" t="s">
        <v>101</v>
      </c>
      <c r="B103" s="13">
        <v>178</v>
      </c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5">
        <f>SUM(C103:AZ103)</f>
        <v>0</v>
      </c>
      <c r="BB103" s="13">
        <f>BA103*B103</f>
        <v>0</v>
      </c>
    </row>
    <row r="104" spans="1:54" ht="14.1" customHeight="1" x14ac:dyDescent="0.25">
      <c r="A104" s="12" t="s">
        <v>102</v>
      </c>
      <c r="B104" s="13">
        <v>98</v>
      </c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5">
        <f>SUM(C104:AZ104)</f>
        <v>0</v>
      </c>
      <c r="BB104" s="13">
        <f>BA104*B104</f>
        <v>0</v>
      </c>
    </row>
    <row r="105" spans="1:54" ht="14.1" customHeight="1" x14ac:dyDescent="0.25">
      <c r="A105" s="12" t="s">
        <v>103</v>
      </c>
      <c r="B105" s="13">
        <v>140</v>
      </c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5">
        <f>SUM(C105:AZ105)</f>
        <v>0</v>
      </c>
      <c r="BB105" s="13">
        <f>BA105*B105</f>
        <v>0</v>
      </c>
    </row>
    <row r="106" spans="1:54" ht="14.1" customHeight="1" x14ac:dyDescent="0.25">
      <c r="A106" s="12" t="s">
        <v>104</v>
      </c>
      <c r="B106" s="13">
        <v>161</v>
      </c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5">
        <f>SUM(C106:AZ106)</f>
        <v>0</v>
      </c>
      <c r="BB106" s="13">
        <f>BA106*B106</f>
        <v>0</v>
      </c>
    </row>
    <row r="107" spans="1:54" ht="14.1" customHeight="1" x14ac:dyDescent="0.25">
      <c r="A107" s="12" t="s">
        <v>105</v>
      </c>
      <c r="B107" s="13">
        <v>127</v>
      </c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5">
        <f>SUM(C107:AZ107)</f>
        <v>0</v>
      </c>
      <c r="BB107" s="13">
        <f>BA107*B107</f>
        <v>0</v>
      </c>
    </row>
    <row r="108" spans="1:54" ht="14.1" customHeight="1" x14ac:dyDescent="0.25">
      <c r="A108" s="12" t="s">
        <v>106</v>
      </c>
      <c r="B108" s="13">
        <v>157</v>
      </c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5">
        <f>SUM(C108:AZ108)</f>
        <v>0</v>
      </c>
      <c r="BB108" s="13">
        <f>BA108*B108</f>
        <v>0</v>
      </c>
    </row>
    <row r="109" spans="1:54" ht="14.1" customHeight="1" x14ac:dyDescent="0.25">
      <c r="A109" s="12" t="s">
        <v>107</v>
      </c>
      <c r="B109" s="13">
        <v>178</v>
      </c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5">
        <f>SUM(C109:AZ109)</f>
        <v>0</v>
      </c>
      <c r="BB109" s="13">
        <f>BA109*B109</f>
        <v>0</v>
      </c>
    </row>
    <row r="110" spans="1:54" ht="14.1" customHeight="1" x14ac:dyDescent="0.25">
      <c r="A110" s="12" t="s">
        <v>108</v>
      </c>
      <c r="B110" s="13">
        <v>151</v>
      </c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5">
        <f>SUM(C110:AZ110)</f>
        <v>0</v>
      </c>
      <c r="BB110" s="13">
        <f>BA110*B110</f>
        <v>0</v>
      </c>
    </row>
    <row r="111" spans="1:54" ht="14.1" customHeight="1" x14ac:dyDescent="0.25">
      <c r="A111" s="12" t="s">
        <v>109</v>
      </c>
      <c r="B111" s="13">
        <v>117</v>
      </c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5">
        <f>SUM(C111:AZ111)</f>
        <v>0</v>
      </c>
      <c r="BB111" s="13">
        <f>BA111*B111</f>
        <v>0</v>
      </c>
    </row>
    <row r="112" spans="1:54" ht="14.1" customHeight="1" x14ac:dyDescent="0.25">
      <c r="A112" s="12" t="s">
        <v>110</v>
      </c>
      <c r="B112" s="13">
        <v>151</v>
      </c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5">
        <f>SUM(C112:AZ112)</f>
        <v>0</v>
      </c>
      <c r="BB112" s="13">
        <f>BA112*B112</f>
        <v>0</v>
      </c>
    </row>
    <row r="113" spans="1:54" x14ac:dyDescent="0.25">
      <c r="A113" s="10" t="s">
        <v>111</v>
      </c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</row>
    <row r="114" spans="1:54" ht="14.1" customHeight="1" x14ac:dyDescent="0.25">
      <c r="A114" s="12" t="s">
        <v>112</v>
      </c>
      <c r="B114" s="13">
        <v>164</v>
      </c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5">
        <f>SUM(C114:AZ114)</f>
        <v>0</v>
      </c>
      <c r="BB114" s="13">
        <f>BA114*B114</f>
        <v>0</v>
      </c>
    </row>
    <row r="115" spans="1:54" ht="14.1" customHeight="1" x14ac:dyDescent="0.25">
      <c r="A115" s="12" t="s">
        <v>113</v>
      </c>
      <c r="B115" s="13">
        <v>172</v>
      </c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5">
        <f>SUM(C115:AZ115)</f>
        <v>0</v>
      </c>
      <c r="BB115" s="13">
        <f>BA115*B115</f>
        <v>0</v>
      </c>
    </row>
    <row r="116" spans="1:54" ht="14.1" customHeight="1" x14ac:dyDescent="0.25">
      <c r="A116" s="12" t="s">
        <v>114</v>
      </c>
      <c r="B116" s="13">
        <v>187</v>
      </c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5">
        <f>SUM(C116:AZ116)</f>
        <v>0</v>
      </c>
      <c r="BB116" s="13">
        <f>BA116*B116</f>
        <v>0</v>
      </c>
    </row>
    <row r="117" spans="1:54" ht="14.1" customHeight="1" x14ac:dyDescent="0.25">
      <c r="A117" s="12" t="s">
        <v>115</v>
      </c>
      <c r="B117" s="13">
        <v>164</v>
      </c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5">
        <f>SUM(C117:AZ117)</f>
        <v>0</v>
      </c>
      <c r="BB117" s="13">
        <f>BA117*B117</f>
        <v>0</v>
      </c>
    </row>
    <row r="118" spans="1:54" ht="14.1" customHeight="1" x14ac:dyDescent="0.25">
      <c r="A118" s="12" t="s">
        <v>116</v>
      </c>
      <c r="B118" s="13">
        <v>179</v>
      </c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5">
        <f>SUM(C118:AZ118)</f>
        <v>0</v>
      </c>
      <c r="BB118" s="13">
        <f>BA118*B118</f>
        <v>0</v>
      </c>
    </row>
    <row r="119" spans="1:54" x14ac:dyDescent="0.25">
      <c r="A119" s="10" t="s">
        <v>117</v>
      </c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</row>
    <row r="120" spans="1:54" ht="14.1" customHeight="1" x14ac:dyDescent="0.25">
      <c r="A120" s="12" t="s">
        <v>118</v>
      </c>
      <c r="B120" s="13">
        <v>164</v>
      </c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5">
        <f>SUM(C120:AZ120)</f>
        <v>0</v>
      </c>
      <c r="BB120" s="13">
        <f>BA120*B120</f>
        <v>0</v>
      </c>
    </row>
    <row r="121" spans="1:54" ht="14.1" customHeight="1" x14ac:dyDescent="0.25">
      <c r="A121" s="12" t="s">
        <v>119</v>
      </c>
      <c r="B121" s="13">
        <v>149</v>
      </c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5">
        <f>SUM(C121:AZ121)</f>
        <v>0</v>
      </c>
      <c r="BB121" s="13">
        <f>BA121*B121</f>
        <v>0</v>
      </c>
    </row>
    <row r="122" spans="1:54" ht="14.1" customHeight="1" x14ac:dyDescent="0.25">
      <c r="A122" s="12" t="s">
        <v>120</v>
      </c>
      <c r="B122" s="13">
        <v>149</v>
      </c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5">
        <f>SUM(C122:AZ122)</f>
        <v>0</v>
      </c>
      <c r="BB122" s="13">
        <f>BA122*B122</f>
        <v>0</v>
      </c>
    </row>
    <row r="123" spans="1:54" ht="14.1" customHeight="1" x14ac:dyDescent="0.25">
      <c r="A123" s="12" t="s">
        <v>121</v>
      </c>
      <c r="B123" s="13">
        <v>164</v>
      </c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5">
        <f>SUM(C123:AZ123)</f>
        <v>0</v>
      </c>
      <c r="BB123" s="13">
        <f>BA123*B123</f>
        <v>0</v>
      </c>
    </row>
    <row r="124" spans="1:54" ht="14.1" customHeight="1" x14ac:dyDescent="0.25">
      <c r="A124" s="12" t="s">
        <v>122</v>
      </c>
      <c r="B124" s="13">
        <v>164</v>
      </c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5">
        <f>SUM(C124:AZ124)</f>
        <v>0</v>
      </c>
      <c r="BB124" s="13">
        <f>BA124*B124</f>
        <v>0</v>
      </c>
    </row>
    <row r="125" spans="1:54" ht="14.1" customHeight="1" x14ac:dyDescent="0.25">
      <c r="A125" s="12" t="s">
        <v>123</v>
      </c>
      <c r="B125" s="13">
        <v>164</v>
      </c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5">
        <f>SUM(C125:AZ125)</f>
        <v>0</v>
      </c>
      <c r="BB125" s="13">
        <f>BA125*B125</f>
        <v>0</v>
      </c>
    </row>
    <row r="126" spans="1:54" ht="14.1" customHeight="1" x14ac:dyDescent="0.25">
      <c r="A126" s="12" t="s">
        <v>124</v>
      </c>
      <c r="B126" s="13">
        <v>149</v>
      </c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5">
        <f>SUM(C126:AZ126)</f>
        <v>0</v>
      </c>
      <c r="BB126" s="13">
        <f>BA126*B126</f>
        <v>0</v>
      </c>
    </row>
    <row r="127" spans="1:54" ht="14.1" customHeight="1" x14ac:dyDescent="0.25">
      <c r="A127" s="12" t="s">
        <v>125</v>
      </c>
      <c r="B127" s="13">
        <v>194</v>
      </c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5">
        <f>SUM(C127:AZ127)</f>
        <v>0</v>
      </c>
      <c r="BB127" s="13">
        <f>BA127*B127</f>
        <v>0</v>
      </c>
    </row>
    <row r="128" spans="1:54" ht="14.1" customHeight="1" x14ac:dyDescent="0.25">
      <c r="A128" s="12" t="s">
        <v>126</v>
      </c>
      <c r="B128" s="13">
        <v>164</v>
      </c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5">
        <f>SUM(C128:AZ128)</f>
        <v>0</v>
      </c>
      <c r="BB128" s="13">
        <f>BA128*B128</f>
        <v>0</v>
      </c>
    </row>
    <row r="129" spans="1:54" ht="14.1" customHeight="1" x14ac:dyDescent="0.25">
      <c r="A129" s="12" t="s">
        <v>127</v>
      </c>
      <c r="B129" s="13">
        <v>164</v>
      </c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5">
        <f>SUM(C129:AZ129)</f>
        <v>0</v>
      </c>
      <c r="BB129" s="13">
        <f>BA129*B129</f>
        <v>0</v>
      </c>
    </row>
    <row r="130" spans="1:54" ht="14.1" customHeight="1" x14ac:dyDescent="0.25">
      <c r="A130" s="12" t="s">
        <v>128</v>
      </c>
      <c r="B130" s="13">
        <v>283</v>
      </c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5">
        <f>SUM(C130:AZ130)</f>
        <v>0</v>
      </c>
      <c r="BB130" s="13">
        <f>BA130*B130</f>
        <v>0</v>
      </c>
    </row>
    <row r="131" spans="1:54" ht="14.1" customHeight="1" x14ac:dyDescent="0.25">
      <c r="A131" s="12" t="s">
        <v>129</v>
      </c>
      <c r="B131" s="13">
        <v>142</v>
      </c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5">
        <f>SUM(C131:AZ131)</f>
        <v>0</v>
      </c>
      <c r="BB131" s="13">
        <f>BA131*B131</f>
        <v>0</v>
      </c>
    </row>
    <row r="132" spans="1:54" ht="14.1" customHeight="1" x14ac:dyDescent="0.25">
      <c r="A132" s="12" t="s">
        <v>130</v>
      </c>
      <c r="B132" s="13">
        <v>194</v>
      </c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5">
        <f>SUM(C132:AZ132)</f>
        <v>0</v>
      </c>
      <c r="BB132" s="13">
        <f>BA132*B132</f>
        <v>0</v>
      </c>
    </row>
    <row r="133" spans="1:54" ht="14.1" customHeight="1" x14ac:dyDescent="0.25">
      <c r="A133" s="12" t="s">
        <v>131</v>
      </c>
      <c r="B133" s="13">
        <v>164</v>
      </c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5">
        <f>SUM(C133:AZ133)</f>
        <v>0</v>
      </c>
      <c r="BB133" s="13">
        <f>BA133*B133</f>
        <v>0</v>
      </c>
    </row>
    <row r="134" spans="1:54" ht="14.1" customHeight="1" x14ac:dyDescent="0.25">
      <c r="A134" s="12" t="s">
        <v>132</v>
      </c>
      <c r="B134" s="13">
        <v>164</v>
      </c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5">
        <f>SUM(C134:AZ134)</f>
        <v>0</v>
      </c>
      <c r="BB134" s="13">
        <f>BA134*B134</f>
        <v>0</v>
      </c>
    </row>
    <row r="135" spans="1:54" ht="14.1" customHeight="1" x14ac:dyDescent="0.25">
      <c r="A135" s="12" t="s">
        <v>133</v>
      </c>
      <c r="B135" s="13">
        <v>239</v>
      </c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5">
        <f>SUM(C135:AZ135)</f>
        <v>0</v>
      </c>
      <c r="BB135" s="13">
        <f>BA135*B135</f>
        <v>0</v>
      </c>
    </row>
    <row r="136" spans="1:54" ht="14.1" customHeight="1" x14ac:dyDescent="0.25">
      <c r="A136" s="12" t="s">
        <v>134</v>
      </c>
      <c r="B136" s="13">
        <v>207</v>
      </c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5">
        <f>SUM(C136:AZ136)</f>
        <v>0</v>
      </c>
      <c r="BB136" s="13">
        <f>BA136*B136</f>
        <v>0</v>
      </c>
    </row>
    <row r="137" spans="1:54" ht="14.1" customHeight="1" x14ac:dyDescent="0.25">
      <c r="A137" s="12" t="s">
        <v>135</v>
      </c>
      <c r="B137" s="13">
        <v>230</v>
      </c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5">
        <f>SUM(C137:AZ137)</f>
        <v>0</v>
      </c>
      <c r="BB137" s="13">
        <f>BA137*B137</f>
        <v>0</v>
      </c>
    </row>
    <row r="138" spans="1:54" x14ac:dyDescent="0.25">
      <c r="A138" s="10" t="s">
        <v>136</v>
      </c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</row>
    <row r="139" spans="1:54" ht="14.1" customHeight="1" x14ac:dyDescent="0.25">
      <c r="A139" s="12" t="s">
        <v>137</v>
      </c>
      <c r="B139" s="13">
        <v>72</v>
      </c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5">
        <f>SUM(C139:AZ139)</f>
        <v>0</v>
      </c>
      <c r="BB139" s="13">
        <f>BA139*B139</f>
        <v>0</v>
      </c>
    </row>
    <row r="140" spans="1:54" ht="14.1" customHeight="1" x14ac:dyDescent="0.25">
      <c r="A140" s="12" t="s">
        <v>138</v>
      </c>
      <c r="B140" s="13">
        <v>63</v>
      </c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5">
        <f>SUM(C140:AZ140)</f>
        <v>0</v>
      </c>
      <c r="BB140" s="13">
        <f>BA140*B140</f>
        <v>0</v>
      </c>
    </row>
    <row r="141" spans="1:54" ht="14.1" customHeight="1" x14ac:dyDescent="0.25">
      <c r="A141" s="12" t="s">
        <v>139</v>
      </c>
      <c r="B141" s="13">
        <v>86</v>
      </c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5">
        <f>SUM(C141:AZ141)</f>
        <v>0</v>
      </c>
      <c r="BB141" s="13">
        <f>BA141*B141</f>
        <v>0</v>
      </c>
    </row>
    <row r="142" spans="1:54" ht="14.1" customHeight="1" x14ac:dyDescent="0.25">
      <c r="A142" s="12" t="s">
        <v>140</v>
      </c>
      <c r="B142" s="13">
        <v>72</v>
      </c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5">
        <f>SUM(C142:AZ142)</f>
        <v>0</v>
      </c>
      <c r="BB142" s="13">
        <f>BA142*B142</f>
        <v>0</v>
      </c>
    </row>
    <row r="143" spans="1:54" ht="14.1" customHeight="1" x14ac:dyDescent="0.25">
      <c r="A143" s="12" t="s">
        <v>141</v>
      </c>
      <c r="B143" s="13">
        <v>72</v>
      </c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5">
        <f>SUM(C143:AZ143)</f>
        <v>0</v>
      </c>
      <c r="BB143" s="13">
        <f>BA143*B143</f>
        <v>0</v>
      </c>
    </row>
    <row r="144" spans="1:54" ht="14.1" customHeight="1" x14ac:dyDescent="0.25">
      <c r="A144" s="12" t="s">
        <v>142</v>
      </c>
      <c r="B144" s="13">
        <v>76</v>
      </c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5">
        <f>SUM(C144:AZ144)</f>
        <v>0</v>
      </c>
      <c r="BB144" s="13">
        <f>BA144*B144</f>
        <v>0</v>
      </c>
    </row>
    <row r="145" spans="1:54" ht="14.1" customHeight="1" x14ac:dyDescent="0.25">
      <c r="A145" s="12" t="s">
        <v>143</v>
      </c>
      <c r="B145" s="13">
        <v>72</v>
      </c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5">
        <f>SUM(C145:AZ145)</f>
        <v>0</v>
      </c>
      <c r="BB145" s="13">
        <f>BA145*B145</f>
        <v>0</v>
      </c>
    </row>
    <row r="146" spans="1:54" ht="14.1" customHeight="1" x14ac:dyDescent="0.25">
      <c r="A146" s="12" t="s">
        <v>144</v>
      </c>
      <c r="B146" s="13">
        <v>72</v>
      </c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5">
        <f>SUM(C146:AZ146)</f>
        <v>0</v>
      </c>
      <c r="BB146" s="13">
        <f>BA146*B146</f>
        <v>0</v>
      </c>
    </row>
    <row r="147" spans="1:54" ht="14.1" customHeight="1" x14ac:dyDescent="0.25">
      <c r="A147" s="12" t="s">
        <v>145</v>
      </c>
      <c r="B147" s="13">
        <v>103</v>
      </c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5">
        <f>SUM(C147:AZ147)</f>
        <v>0</v>
      </c>
      <c r="BB147" s="13">
        <f>BA147*B147</f>
        <v>0</v>
      </c>
    </row>
    <row r="148" spans="1:54" ht="14.1" customHeight="1" x14ac:dyDescent="0.25">
      <c r="A148" s="12" t="s">
        <v>146</v>
      </c>
      <c r="B148" s="13">
        <v>86</v>
      </c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5">
        <f>SUM(C148:AZ148)</f>
        <v>0</v>
      </c>
      <c r="BB148" s="13">
        <f>BA148*B148</f>
        <v>0</v>
      </c>
    </row>
    <row r="149" spans="1:54" ht="14.1" customHeight="1" x14ac:dyDescent="0.25">
      <c r="A149" s="12" t="s">
        <v>147</v>
      </c>
      <c r="B149" s="13">
        <v>137</v>
      </c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5">
        <f>SUM(C149:AZ149)</f>
        <v>0</v>
      </c>
      <c r="BB149" s="13">
        <f>BA149*B149</f>
        <v>0</v>
      </c>
    </row>
    <row r="150" spans="1:54" ht="14.1" customHeight="1" x14ac:dyDescent="0.25">
      <c r="A150" s="12" t="s">
        <v>148</v>
      </c>
      <c r="B150" s="13">
        <v>151</v>
      </c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5">
        <f>SUM(C150:AZ150)</f>
        <v>0</v>
      </c>
      <c r="BB150" s="13">
        <f>BA150*B150</f>
        <v>0</v>
      </c>
    </row>
    <row r="151" spans="1:54" ht="14.1" customHeight="1" x14ac:dyDescent="0.25">
      <c r="A151" s="12" t="s">
        <v>149</v>
      </c>
      <c r="B151" s="13">
        <v>157</v>
      </c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5">
        <f>SUM(C151:AZ151)</f>
        <v>0</v>
      </c>
      <c r="BB151" s="13">
        <f>BA151*B151</f>
        <v>0</v>
      </c>
    </row>
    <row r="152" spans="1:54" ht="14.1" customHeight="1" x14ac:dyDescent="0.25">
      <c r="A152" s="12" t="s">
        <v>150</v>
      </c>
      <c r="B152" s="13">
        <v>137</v>
      </c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5">
        <f>SUM(C152:AZ152)</f>
        <v>0</v>
      </c>
      <c r="BB152" s="13">
        <f>BA152*B152</f>
        <v>0</v>
      </c>
    </row>
    <row r="153" spans="1:54" ht="14.1" customHeight="1" x14ac:dyDescent="0.25">
      <c r="A153" s="12" t="s">
        <v>151</v>
      </c>
      <c r="B153" s="13">
        <v>69</v>
      </c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5">
        <f>SUM(C153:AZ153)</f>
        <v>0</v>
      </c>
      <c r="BB153" s="13">
        <f>BA153*B153</f>
        <v>0</v>
      </c>
    </row>
    <row r="154" spans="1:54" ht="14.1" customHeight="1" x14ac:dyDescent="0.25">
      <c r="A154" s="12" t="s">
        <v>152</v>
      </c>
      <c r="B154" s="13">
        <v>75</v>
      </c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5">
        <f>SUM(C154:AZ154)</f>
        <v>0</v>
      </c>
      <c r="BB154" s="13">
        <f>BA154*B154</f>
        <v>0</v>
      </c>
    </row>
    <row r="155" spans="1:54" ht="14.1" customHeight="1" x14ac:dyDescent="0.25">
      <c r="A155" s="12" t="s">
        <v>153</v>
      </c>
      <c r="B155" s="13">
        <v>69</v>
      </c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5">
        <f>SUM(C155:AZ155)</f>
        <v>0</v>
      </c>
      <c r="BB155" s="13">
        <f>BA155*B155</f>
        <v>0</v>
      </c>
    </row>
    <row r="156" spans="1:54" ht="14.1" customHeight="1" x14ac:dyDescent="0.25">
      <c r="A156" s="12" t="s">
        <v>154</v>
      </c>
      <c r="B156" s="13">
        <v>75</v>
      </c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5">
        <f>SUM(C156:AZ156)</f>
        <v>0</v>
      </c>
      <c r="BB156" s="13">
        <f>BA156*B156</f>
        <v>0</v>
      </c>
    </row>
    <row r="157" spans="1:54" ht="14.1" customHeight="1" x14ac:dyDescent="0.25">
      <c r="A157" s="12" t="s">
        <v>155</v>
      </c>
      <c r="B157" s="13">
        <v>137</v>
      </c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5">
        <f>SUM(C157:AZ157)</f>
        <v>0</v>
      </c>
      <c r="BB157" s="13">
        <f>BA157*B157</f>
        <v>0</v>
      </c>
    </row>
    <row r="158" spans="1:54" ht="14.1" customHeight="1" x14ac:dyDescent="0.25">
      <c r="A158" s="12" t="s">
        <v>156</v>
      </c>
      <c r="B158" s="13">
        <v>99</v>
      </c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5">
        <f>SUM(C158:AZ158)</f>
        <v>0</v>
      </c>
      <c r="BB158" s="13">
        <f>BA158*B158</f>
        <v>0</v>
      </c>
    </row>
    <row r="159" spans="1:54" ht="14.1" customHeight="1" x14ac:dyDescent="0.25">
      <c r="A159" s="12" t="s">
        <v>157</v>
      </c>
      <c r="B159" s="13">
        <v>144</v>
      </c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5">
        <f>SUM(C159:AZ159)</f>
        <v>0</v>
      </c>
      <c r="BB159" s="13">
        <f>BA159*B159</f>
        <v>0</v>
      </c>
    </row>
    <row r="160" spans="1:54" ht="14.1" customHeight="1" x14ac:dyDescent="0.25">
      <c r="A160" s="12" t="s">
        <v>158</v>
      </c>
      <c r="B160" s="13">
        <v>152</v>
      </c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5">
        <f>SUM(C160:AZ160)</f>
        <v>0</v>
      </c>
      <c r="BB160" s="13">
        <f>BA160*B160</f>
        <v>0</v>
      </c>
    </row>
    <row r="161" spans="1:54" ht="14.1" customHeight="1" x14ac:dyDescent="0.25">
      <c r="A161" s="12" t="s">
        <v>159</v>
      </c>
      <c r="B161" s="13">
        <v>151</v>
      </c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5">
        <f>SUM(C161:AZ161)</f>
        <v>0</v>
      </c>
      <c r="BB161" s="13">
        <f>BA161*B161</f>
        <v>0</v>
      </c>
    </row>
    <row r="162" spans="1:54" x14ac:dyDescent="0.25">
      <c r="A162" s="10" t="s">
        <v>160</v>
      </c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</row>
    <row r="163" spans="1:54" ht="14.1" customHeight="1" x14ac:dyDescent="0.25">
      <c r="A163" s="12" t="s">
        <v>161</v>
      </c>
      <c r="B163" s="13">
        <v>46</v>
      </c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5">
        <f>SUM(C163:AZ163)</f>
        <v>0</v>
      </c>
      <c r="BB163" s="13">
        <f>BA163*B163</f>
        <v>0</v>
      </c>
    </row>
    <row r="164" spans="1:54" ht="14.1" customHeight="1" x14ac:dyDescent="0.25">
      <c r="A164" s="12" t="s">
        <v>162</v>
      </c>
      <c r="B164" s="13">
        <v>46</v>
      </c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5">
        <f>SUM(C164:AZ164)</f>
        <v>0</v>
      </c>
      <c r="BB164" s="13">
        <f>BA164*B164</f>
        <v>0</v>
      </c>
    </row>
    <row r="165" spans="1:54" ht="14.1" customHeight="1" x14ac:dyDescent="0.25">
      <c r="A165" s="12" t="s">
        <v>163</v>
      </c>
      <c r="B165" s="13">
        <v>57</v>
      </c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5">
        <f>SUM(C165:AZ165)</f>
        <v>0</v>
      </c>
      <c r="BB165" s="13">
        <f>BA165*B165</f>
        <v>0</v>
      </c>
    </row>
    <row r="166" spans="1:54" ht="14.1" customHeight="1" x14ac:dyDescent="0.25">
      <c r="A166" s="12" t="s">
        <v>164</v>
      </c>
      <c r="B166" s="13">
        <v>57</v>
      </c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5">
        <f>SUM(C166:AZ166)</f>
        <v>0</v>
      </c>
      <c r="BB166" s="13">
        <f>BA166*B166</f>
        <v>0</v>
      </c>
    </row>
    <row r="167" spans="1:54" ht="14.1" customHeight="1" x14ac:dyDescent="0.25">
      <c r="A167" s="12" t="s">
        <v>165</v>
      </c>
      <c r="B167" s="13">
        <v>57</v>
      </c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5">
        <f>SUM(C167:AZ167)</f>
        <v>0</v>
      </c>
      <c r="BB167" s="13">
        <f>BA167*B167</f>
        <v>0</v>
      </c>
    </row>
    <row r="168" spans="1:54" ht="14.1" customHeight="1" x14ac:dyDescent="0.25">
      <c r="A168" s="12" t="s">
        <v>166</v>
      </c>
      <c r="B168" s="13">
        <v>97</v>
      </c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5">
        <f>SUM(C168:AZ168)</f>
        <v>0</v>
      </c>
      <c r="BB168" s="13">
        <f>BA168*B168</f>
        <v>0</v>
      </c>
    </row>
    <row r="169" spans="1:54" ht="14.1" customHeight="1" x14ac:dyDescent="0.25">
      <c r="A169" s="12" t="s">
        <v>167</v>
      </c>
      <c r="B169" s="13">
        <v>77</v>
      </c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5">
        <f>SUM(C169:AZ169)</f>
        <v>0</v>
      </c>
      <c r="BB169" s="13">
        <f>BA169*B169</f>
        <v>0</v>
      </c>
    </row>
    <row r="170" spans="1:54" ht="14.1" customHeight="1" x14ac:dyDescent="0.25">
      <c r="A170" s="12" t="s">
        <v>168</v>
      </c>
      <c r="B170" s="13">
        <v>90</v>
      </c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5">
        <f>SUM(C170:AZ170)</f>
        <v>0</v>
      </c>
      <c r="BB170" s="13">
        <f>BA170*B170</f>
        <v>0</v>
      </c>
    </row>
    <row r="171" spans="1:54" ht="14.1" customHeight="1" x14ac:dyDescent="0.25">
      <c r="A171" s="12" t="s">
        <v>169</v>
      </c>
      <c r="B171" s="13">
        <v>39</v>
      </c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5">
        <f>SUM(C171:AZ171)</f>
        <v>0</v>
      </c>
      <c r="BB171" s="13">
        <f>BA171*B171</f>
        <v>0</v>
      </c>
    </row>
    <row r="172" spans="1:54" ht="14.1" customHeight="1" x14ac:dyDescent="0.25">
      <c r="A172" s="12" t="s">
        <v>170</v>
      </c>
      <c r="B172" s="13">
        <v>39</v>
      </c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5">
        <f>SUM(C172:AZ172)</f>
        <v>0</v>
      </c>
      <c r="BB172" s="13">
        <f>BA172*B172</f>
        <v>0</v>
      </c>
    </row>
    <row r="173" spans="1:54" ht="14.1" customHeight="1" x14ac:dyDescent="0.25">
      <c r="A173" s="12" t="s">
        <v>171</v>
      </c>
      <c r="B173" s="13">
        <v>39</v>
      </c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5">
        <f>SUM(C173:AZ173)</f>
        <v>0</v>
      </c>
      <c r="BB173" s="13">
        <f>BA173*B173</f>
        <v>0</v>
      </c>
    </row>
    <row r="174" spans="1:54" ht="14.1" customHeight="1" x14ac:dyDescent="0.25">
      <c r="A174" s="12" t="s">
        <v>172</v>
      </c>
      <c r="B174" s="13">
        <v>39</v>
      </c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5">
        <f>SUM(C174:AZ174)</f>
        <v>0</v>
      </c>
      <c r="BB174" s="13">
        <f>BA174*B174</f>
        <v>0</v>
      </c>
    </row>
    <row r="175" spans="1:54" ht="14.1" customHeight="1" x14ac:dyDescent="0.25">
      <c r="A175" s="12" t="s">
        <v>173</v>
      </c>
      <c r="B175" s="13">
        <v>76</v>
      </c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5">
        <f>SUM(C175:AZ175)</f>
        <v>0</v>
      </c>
      <c r="BB175" s="13">
        <f>BA175*B175</f>
        <v>0</v>
      </c>
    </row>
    <row r="176" spans="1:54" ht="14.1" customHeight="1" x14ac:dyDescent="0.25">
      <c r="A176" s="12" t="s">
        <v>174</v>
      </c>
      <c r="B176" s="13">
        <v>76</v>
      </c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5">
        <f>SUM(C176:AZ176)</f>
        <v>0</v>
      </c>
      <c r="BB176" s="13">
        <f>BA176*B176</f>
        <v>0</v>
      </c>
    </row>
    <row r="177" spans="1:54" ht="14.1" customHeight="1" x14ac:dyDescent="0.25">
      <c r="A177" s="12" t="s">
        <v>175</v>
      </c>
      <c r="B177" s="13">
        <v>76</v>
      </c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5">
        <f>SUM(C177:AZ177)</f>
        <v>0</v>
      </c>
      <c r="BB177" s="13">
        <f>BA177*B177</f>
        <v>0</v>
      </c>
    </row>
    <row r="178" spans="1:54" ht="14.1" customHeight="1" x14ac:dyDescent="0.25">
      <c r="A178" s="12" t="s">
        <v>176</v>
      </c>
      <c r="B178" s="13">
        <v>4</v>
      </c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5">
        <f>SUM(C178:AZ178)</f>
        <v>0</v>
      </c>
      <c r="BB178" s="13">
        <f>BA178*B178</f>
        <v>0</v>
      </c>
    </row>
    <row r="179" spans="1:54" ht="14.1" customHeight="1" x14ac:dyDescent="0.25">
      <c r="A179" s="12" t="s">
        <v>177</v>
      </c>
      <c r="B179" s="13">
        <v>4</v>
      </c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5">
        <f>SUM(C179:AZ179)</f>
        <v>0</v>
      </c>
      <c r="BB179" s="13">
        <f>BA179*B179</f>
        <v>0</v>
      </c>
    </row>
    <row r="180" spans="1:54" ht="14.1" customHeight="1" x14ac:dyDescent="0.25">
      <c r="A180" s="12" t="s">
        <v>178</v>
      </c>
      <c r="B180" s="13">
        <v>7</v>
      </c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5">
        <f>SUM(C180:AZ180)</f>
        <v>0</v>
      </c>
      <c r="BB180" s="13">
        <f>BA180*B180</f>
        <v>0</v>
      </c>
    </row>
    <row r="181" spans="1:54" ht="14.1" customHeight="1" x14ac:dyDescent="0.25">
      <c r="A181" s="12" t="s">
        <v>179</v>
      </c>
      <c r="B181" s="13">
        <v>7</v>
      </c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5">
        <f>SUM(C181:AZ181)</f>
        <v>0</v>
      </c>
      <c r="BB181" s="13">
        <f>BA181*B181</f>
        <v>0</v>
      </c>
    </row>
    <row r="182" spans="1:54" ht="14.1" customHeight="1" thickBot="1" x14ac:dyDescent="0.3">
      <c r="A182" s="16" t="s">
        <v>180</v>
      </c>
      <c r="B182" s="18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</row>
    <row r="183" spans="1:54" ht="14.1" customHeight="1" x14ac:dyDescent="0.25">
      <c r="A183" s="17" t="s">
        <v>181</v>
      </c>
      <c r="B183" s="19">
        <v>296</v>
      </c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20">
        <f>SUM(C183:AZ183)</f>
        <v>0</v>
      </c>
      <c r="BB183" s="21">
        <f>BA183*B183</f>
        <v>0</v>
      </c>
    </row>
    <row r="184" spans="1:54" ht="14.1" customHeight="1" x14ac:dyDescent="0.25">
      <c r="A184" s="22" t="s">
        <v>119</v>
      </c>
      <c r="B184" s="23"/>
      <c r="C184" s="26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</row>
    <row r="185" spans="1:54" ht="14.1" customHeight="1" x14ac:dyDescent="0.25">
      <c r="A185" s="24" t="s">
        <v>43</v>
      </c>
      <c r="B185" s="25"/>
      <c r="C185" s="27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</row>
    <row r="186" spans="1:54" ht="14.1" customHeight="1" thickBot="1" x14ac:dyDescent="0.3">
      <c r="A186" s="28" t="s">
        <v>182</v>
      </c>
      <c r="B186" s="29"/>
      <c r="C186" s="27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</row>
    <row r="187" spans="1:54" ht="14.1" customHeight="1" x14ac:dyDescent="0.25">
      <c r="A187" s="17" t="s">
        <v>183</v>
      </c>
      <c r="B187" s="19">
        <v>395</v>
      </c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20">
        <f>SUM(C187:AZ187)</f>
        <v>0</v>
      </c>
      <c r="BB187" s="21">
        <f>BA187*B187</f>
        <v>0</v>
      </c>
    </row>
    <row r="188" spans="1:54" ht="14.1" customHeight="1" x14ac:dyDescent="0.25">
      <c r="A188" s="22" t="s">
        <v>45</v>
      </c>
      <c r="B188" s="23"/>
      <c r="C188" s="26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</row>
    <row r="189" spans="1:54" ht="14.1" customHeight="1" x14ac:dyDescent="0.25">
      <c r="A189" s="24" t="s">
        <v>184</v>
      </c>
      <c r="B189" s="25"/>
      <c r="C189" s="27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</row>
    <row r="190" spans="1:54" ht="14.1" customHeight="1" x14ac:dyDescent="0.25">
      <c r="A190" s="24" t="s">
        <v>28</v>
      </c>
      <c r="B190" s="25"/>
      <c r="C190" s="27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</row>
    <row r="191" spans="1:54" ht="14.1" customHeight="1" thickBot="1" x14ac:dyDescent="0.3">
      <c r="A191" s="28" t="s">
        <v>185</v>
      </c>
      <c r="B191" s="29"/>
      <c r="C191" s="27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</row>
    <row r="192" spans="1:54" ht="14.1" customHeight="1" x14ac:dyDescent="0.25">
      <c r="A192" s="17" t="s">
        <v>186</v>
      </c>
      <c r="B192" s="19">
        <v>461</v>
      </c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20">
        <f>SUM(C192:AZ192)</f>
        <v>0</v>
      </c>
      <c r="BB192" s="21">
        <f>BA192*B192</f>
        <v>0</v>
      </c>
    </row>
    <row r="193" spans="1:54" ht="14.1" customHeight="1" x14ac:dyDescent="0.25">
      <c r="A193" s="22" t="s">
        <v>45</v>
      </c>
      <c r="B193" s="23"/>
      <c r="C193" s="26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</row>
    <row r="194" spans="1:54" ht="14.1" customHeight="1" x14ac:dyDescent="0.25">
      <c r="A194" s="24" t="s">
        <v>184</v>
      </c>
      <c r="B194" s="25"/>
      <c r="C194" s="27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</row>
    <row r="195" spans="1:54" ht="14.1" customHeight="1" x14ac:dyDescent="0.25">
      <c r="A195" s="24" t="s">
        <v>28</v>
      </c>
      <c r="B195" s="25"/>
      <c r="C195" s="27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</row>
    <row r="196" spans="1:54" ht="14.1" customHeight="1" x14ac:dyDescent="0.25">
      <c r="A196" s="24" t="s">
        <v>185</v>
      </c>
      <c r="B196" s="25"/>
      <c r="C196" s="27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</row>
    <row r="197" spans="1:54" ht="14.1" customHeight="1" thickBot="1" x14ac:dyDescent="0.3">
      <c r="A197" s="28" t="s">
        <v>187</v>
      </c>
      <c r="B197" s="29"/>
      <c r="C197" s="27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</row>
    <row r="198" spans="1:54" ht="14.1" customHeight="1" x14ac:dyDescent="0.25">
      <c r="A198" s="17" t="s">
        <v>188</v>
      </c>
      <c r="B198" s="19">
        <v>432</v>
      </c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20">
        <f>SUM(C198:AZ198)</f>
        <v>0</v>
      </c>
      <c r="BB198" s="21">
        <f>BA198*B198</f>
        <v>0</v>
      </c>
    </row>
    <row r="199" spans="1:54" ht="14.1" customHeight="1" x14ac:dyDescent="0.25">
      <c r="A199" s="22" t="s">
        <v>46</v>
      </c>
      <c r="B199" s="23"/>
      <c r="C199" s="26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</row>
    <row r="200" spans="1:54" ht="14.1" customHeight="1" x14ac:dyDescent="0.25">
      <c r="A200" s="24" t="s">
        <v>63</v>
      </c>
      <c r="B200" s="25"/>
      <c r="C200" s="27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</row>
    <row r="201" spans="1:54" ht="14.1" customHeight="1" thickBot="1" x14ac:dyDescent="0.3">
      <c r="A201" s="28" t="s">
        <v>25</v>
      </c>
      <c r="B201" s="29"/>
      <c r="C201" s="27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</row>
    <row r="202" spans="1:54" ht="14.1" customHeight="1" x14ac:dyDescent="0.25">
      <c r="A202" s="17" t="s">
        <v>189</v>
      </c>
      <c r="B202" s="19">
        <v>496</v>
      </c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20">
        <f>SUM(C202:AZ202)</f>
        <v>0</v>
      </c>
      <c r="BB202" s="21">
        <f>BA202*B202</f>
        <v>0</v>
      </c>
    </row>
    <row r="203" spans="1:54" ht="14.1" customHeight="1" x14ac:dyDescent="0.25">
      <c r="A203" s="22" t="s">
        <v>46</v>
      </c>
      <c r="B203" s="23"/>
      <c r="C203" s="26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</row>
    <row r="204" spans="1:54" ht="14.1" customHeight="1" x14ac:dyDescent="0.25">
      <c r="A204" s="24" t="s">
        <v>63</v>
      </c>
      <c r="B204" s="25"/>
      <c r="C204" s="27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</row>
    <row r="205" spans="1:54" ht="14.1" customHeight="1" x14ac:dyDescent="0.25">
      <c r="A205" s="24" t="s">
        <v>25</v>
      </c>
      <c r="B205" s="25"/>
      <c r="C205" s="27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</row>
    <row r="206" spans="1:54" ht="14.1" customHeight="1" thickBot="1" x14ac:dyDescent="0.3">
      <c r="A206" s="28" t="s">
        <v>137</v>
      </c>
      <c r="B206" s="29"/>
      <c r="C206" s="27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</row>
    <row r="207" spans="1:54" ht="14.1" customHeight="1" x14ac:dyDescent="0.25">
      <c r="A207" s="17" t="s">
        <v>190</v>
      </c>
      <c r="B207" s="19">
        <v>310</v>
      </c>
      <c r="C207" s="14"/>
      <c r="D207" s="14"/>
      <c r="E207" s="14"/>
      <c r="F207" s="14"/>
      <c r="G207" s="14"/>
      <c r="H207" s="14"/>
      <c r="I207" s="14"/>
      <c r="J207" s="14"/>
      <c r="K207" s="14"/>
      <c r="L207" s="14"/>
      <c r="M207" s="14"/>
      <c r="N207" s="14"/>
      <c r="O207" s="14"/>
      <c r="P207" s="14"/>
      <c r="Q207" s="14"/>
      <c r="R207" s="14"/>
      <c r="S207" s="14"/>
      <c r="T207" s="14"/>
      <c r="U207" s="14"/>
      <c r="V207" s="14"/>
      <c r="W207" s="14"/>
      <c r="X207" s="14"/>
      <c r="Y207" s="14"/>
      <c r="Z207" s="14"/>
      <c r="AA207" s="14"/>
      <c r="AB207" s="14"/>
      <c r="AC207" s="14"/>
      <c r="AD207" s="14"/>
      <c r="AE207" s="14"/>
      <c r="AF207" s="14"/>
      <c r="AG207" s="14"/>
      <c r="AH207" s="14"/>
      <c r="AI207" s="14"/>
      <c r="AJ207" s="14"/>
      <c r="AK207" s="14"/>
      <c r="AL207" s="14"/>
      <c r="AM207" s="14"/>
      <c r="AN207" s="14"/>
      <c r="AO207" s="14"/>
      <c r="AP207" s="14"/>
      <c r="AQ207" s="14"/>
      <c r="AR207" s="14"/>
      <c r="AS207" s="14"/>
      <c r="AT207" s="14"/>
      <c r="AU207" s="14"/>
      <c r="AV207" s="14"/>
      <c r="AW207" s="14"/>
      <c r="AX207" s="14"/>
      <c r="AY207" s="14"/>
      <c r="AZ207" s="14"/>
      <c r="BA207" s="20">
        <f>SUM(C207:AZ207)</f>
        <v>0</v>
      </c>
      <c r="BB207" s="21">
        <f>BA207*B207</f>
        <v>0</v>
      </c>
    </row>
    <row r="208" spans="1:54" ht="14.1" customHeight="1" x14ac:dyDescent="0.25">
      <c r="A208" s="22" t="s">
        <v>51</v>
      </c>
      <c r="B208" s="23"/>
      <c r="C208" s="26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</row>
    <row r="209" spans="1:54" ht="14.1" customHeight="1" thickBot="1" x14ac:dyDescent="0.3">
      <c r="A209" s="28" t="s">
        <v>26</v>
      </c>
      <c r="B209" s="29"/>
      <c r="C209" s="27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</row>
    <row r="210" spans="1:54" ht="14.1" customHeight="1" x14ac:dyDescent="0.25">
      <c r="A210" s="17" t="s">
        <v>191</v>
      </c>
      <c r="B210" s="19">
        <v>361</v>
      </c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20">
        <f>SUM(C210:AZ210)</f>
        <v>0</v>
      </c>
      <c r="BB210" s="21">
        <f>BA210*B210</f>
        <v>0</v>
      </c>
    </row>
    <row r="211" spans="1:54" ht="14.1" customHeight="1" x14ac:dyDescent="0.25">
      <c r="A211" s="22" t="s">
        <v>192</v>
      </c>
      <c r="B211" s="23"/>
      <c r="C211" s="26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</row>
    <row r="212" spans="1:54" ht="14.1" customHeight="1" x14ac:dyDescent="0.25">
      <c r="A212" s="24" t="s">
        <v>193</v>
      </c>
      <c r="B212" s="25"/>
      <c r="C212" s="27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</row>
    <row r="213" spans="1:54" ht="14.1" customHeight="1" thickBot="1" x14ac:dyDescent="0.3">
      <c r="A213" s="28" t="s">
        <v>11</v>
      </c>
      <c r="B213" s="29"/>
      <c r="C213" s="27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</row>
    <row r="214" spans="1:54" ht="14.1" customHeight="1" x14ac:dyDescent="0.25">
      <c r="A214" s="17" t="s">
        <v>194</v>
      </c>
      <c r="B214" s="19">
        <v>276</v>
      </c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20">
        <f>SUM(C214:AZ214)</f>
        <v>0</v>
      </c>
      <c r="BB214" s="21">
        <f>BA214*B214</f>
        <v>0</v>
      </c>
    </row>
    <row r="215" spans="1:54" ht="14.1" customHeight="1" x14ac:dyDescent="0.25">
      <c r="A215" s="22" t="s">
        <v>50</v>
      </c>
      <c r="B215" s="23"/>
      <c r="C215" s="26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</row>
    <row r="216" spans="1:54" ht="14.1" customHeight="1" thickBot="1" x14ac:dyDescent="0.3">
      <c r="A216" s="28" t="s">
        <v>19</v>
      </c>
      <c r="B216" s="29"/>
      <c r="C216" s="27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</row>
    <row r="217" spans="1:54" ht="14.1" customHeight="1" x14ac:dyDescent="0.25">
      <c r="A217" s="17" t="s">
        <v>195</v>
      </c>
      <c r="B217" s="19">
        <v>300</v>
      </c>
      <c r="C217" s="14"/>
      <c r="D217" s="14"/>
      <c r="E217" s="14"/>
      <c r="F217" s="14"/>
      <c r="G217" s="14"/>
      <c r="H217" s="14"/>
      <c r="I217" s="14"/>
      <c r="J217" s="14"/>
      <c r="K217" s="14"/>
      <c r="L217" s="14"/>
      <c r="M217" s="14"/>
      <c r="N217" s="14"/>
      <c r="O217" s="14"/>
      <c r="P217" s="14"/>
      <c r="Q217" s="14"/>
      <c r="R217" s="14"/>
      <c r="S217" s="14"/>
      <c r="T217" s="14"/>
      <c r="U217" s="14"/>
      <c r="V217" s="14"/>
      <c r="W217" s="14"/>
      <c r="X217" s="14"/>
      <c r="Y217" s="14"/>
      <c r="Z217" s="14"/>
      <c r="AA217" s="14"/>
      <c r="AB217" s="14"/>
      <c r="AC217" s="14"/>
      <c r="AD217" s="14"/>
      <c r="AE217" s="14"/>
      <c r="AF217" s="14"/>
      <c r="AG217" s="14"/>
      <c r="AH217" s="14"/>
      <c r="AI217" s="14"/>
      <c r="AJ217" s="14"/>
      <c r="AK217" s="14"/>
      <c r="AL217" s="14"/>
      <c r="AM217" s="14"/>
      <c r="AN217" s="14"/>
      <c r="AO217" s="14"/>
      <c r="AP217" s="14"/>
      <c r="AQ217" s="14"/>
      <c r="AR217" s="14"/>
      <c r="AS217" s="14"/>
      <c r="AT217" s="14"/>
      <c r="AU217" s="14"/>
      <c r="AV217" s="14"/>
      <c r="AW217" s="14"/>
      <c r="AX217" s="14"/>
      <c r="AY217" s="14"/>
      <c r="AZ217" s="14"/>
      <c r="BA217" s="20">
        <f>SUM(C217:AZ217)</f>
        <v>0</v>
      </c>
      <c r="BB217" s="21">
        <f>BA217*B217</f>
        <v>0</v>
      </c>
    </row>
    <row r="218" spans="1:54" ht="14.1" customHeight="1" x14ac:dyDescent="0.25">
      <c r="A218" s="22" t="s">
        <v>45</v>
      </c>
      <c r="B218" s="23"/>
      <c r="C218" s="26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</row>
    <row r="219" spans="1:54" ht="14.1" customHeight="1" thickBot="1" x14ac:dyDescent="0.3">
      <c r="A219" s="28" t="s">
        <v>196</v>
      </c>
      <c r="B219" s="29"/>
      <c r="C219" s="27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</row>
    <row r="220" spans="1:54" x14ac:dyDescent="0.25">
      <c r="A220" s="30"/>
      <c r="B220" s="30"/>
      <c r="C220" s="15">
        <f>SUMPRODUCT(C9:C217,$B$9:$B$217)</f>
        <v>0</v>
      </c>
      <c r="D220" s="15">
        <f>SUMPRODUCT(D9:D217,$B$9:$B$217)</f>
        <v>0</v>
      </c>
      <c r="E220" s="15">
        <f>SUMPRODUCT(E9:E217,$B$9:$B$217)</f>
        <v>0</v>
      </c>
      <c r="F220" s="15">
        <f>SUMPRODUCT(F9:F217,$B$9:$B$217)</f>
        <v>0</v>
      </c>
      <c r="G220" s="15">
        <f>SUMPRODUCT(G9:G217,$B$9:$B$217)</f>
        <v>0</v>
      </c>
      <c r="H220" s="15">
        <f>SUMPRODUCT(H9:H217,$B$9:$B$217)</f>
        <v>0</v>
      </c>
      <c r="I220" s="15">
        <f>SUMPRODUCT(I9:I217,$B$9:$B$217)</f>
        <v>0</v>
      </c>
      <c r="J220" s="15">
        <f>SUMPRODUCT(J9:J217,$B$9:$B$217)</f>
        <v>0</v>
      </c>
      <c r="K220" s="15">
        <f>SUMPRODUCT(K9:K217,$B$9:$B$217)</f>
        <v>0</v>
      </c>
      <c r="L220" s="15">
        <f>SUMPRODUCT(L9:L217,$B$9:$B$217)</f>
        <v>0</v>
      </c>
      <c r="M220" s="15">
        <f>SUMPRODUCT(M9:M217,$B$9:$B$217)</f>
        <v>0</v>
      </c>
      <c r="N220" s="15">
        <f>SUMPRODUCT(N9:N217,$B$9:$B$217)</f>
        <v>0</v>
      </c>
      <c r="O220" s="15">
        <f>SUMPRODUCT(O9:O217,$B$9:$B$217)</f>
        <v>0</v>
      </c>
      <c r="P220" s="15">
        <f>SUMPRODUCT(P9:P217,$B$9:$B$217)</f>
        <v>0</v>
      </c>
      <c r="Q220" s="15">
        <f>SUMPRODUCT(Q9:Q217,$B$9:$B$217)</f>
        <v>0</v>
      </c>
      <c r="R220" s="15">
        <f>SUMPRODUCT(R9:R217,$B$9:$B$217)</f>
        <v>0</v>
      </c>
      <c r="S220" s="15">
        <f>SUMPRODUCT(S9:S217,$B$9:$B$217)</f>
        <v>0</v>
      </c>
      <c r="T220" s="15">
        <f>SUMPRODUCT(T9:T217,$B$9:$B$217)</f>
        <v>0</v>
      </c>
      <c r="U220" s="15">
        <f>SUMPRODUCT(U9:U217,$B$9:$B$217)</f>
        <v>0</v>
      </c>
      <c r="V220" s="15">
        <f>SUMPRODUCT(V9:V217,$B$9:$B$217)</f>
        <v>0</v>
      </c>
      <c r="W220" s="15">
        <f>SUMPRODUCT(W9:W217,$B$9:$B$217)</f>
        <v>0</v>
      </c>
      <c r="X220" s="15">
        <f>SUMPRODUCT(X9:X217,$B$9:$B$217)</f>
        <v>0</v>
      </c>
      <c r="Y220" s="15">
        <f>SUMPRODUCT(Y9:Y217,$B$9:$B$217)</f>
        <v>0</v>
      </c>
      <c r="Z220" s="15">
        <f>SUMPRODUCT(Z9:Z217,$B$9:$B$217)</f>
        <v>0</v>
      </c>
      <c r="AA220" s="15">
        <f>SUMPRODUCT(AA9:AA217,$B$9:$B$217)</f>
        <v>0</v>
      </c>
      <c r="AB220" s="15">
        <f>SUMPRODUCT(AB9:AB217,$B$9:$B$217)</f>
        <v>0</v>
      </c>
      <c r="AC220" s="15">
        <f>SUMPRODUCT(AC9:AC217,$B$9:$B$217)</f>
        <v>0</v>
      </c>
      <c r="AD220" s="15">
        <f>SUMPRODUCT(AD9:AD217,$B$9:$B$217)</f>
        <v>0</v>
      </c>
      <c r="AE220" s="15">
        <f>SUMPRODUCT(AE9:AE217,$B$9:$B$217)</f>
        <v>0</v>
      </c>
      <c r="AF220" s="15">
        <f>SUMPRODUCT(AF9:AF217,$B$9:$B$217)</f>
        <v>0</v>
      </c>
      <c r="AG220" s="15">
        <f>SUMPRODUCT(AG9:AG217,$B$9:$B$217)</f>
        <v>0</v>
      </c>
      <c r="AH220" s="15">
        <f>SUMPRODUCT(AH9:AH217,$B$9:$B$217)</f>
        <v>0</v>
      </c>
      <c r="AI220" s="15">
        <f>SUMPRODUCT(AI9:AI217,$B$9:$B$217)</f>
        <v>0</v>
      </c>
      <c r="AJ220" s="15">
        <f>SUMPRODUCT(AJ9:AJ217,$B$9:$B$217)</f>
        <v>0</v>
      </c>
      <c r="AK220" s="15">
        <f>SUMPRODUCT(AK9:AK217,$B$9:$B$217)</f>
        <v>0</v>
      </c>
      <c r="AL220" s="15">
        <f>SUMPRODUCT(AL9:AL217,$B$9:$B$217)</f>
        <v>0</v>
      </c>
      <c r="AM220" s="15">
        <f>SUMPRODUCT(AM9:AM217,$B$9:$B$217)</f>
        <v>0</v>
      </c>
      <c r="AN220" s="15">
        <f>SUMPRODUCT(AN9:AN217,$B$9:$B$217)</f>
        <v>0</v>
      </c>
      <c r="AO220" s="15">
        <f>SUMPRODUCT(AO9:AO217,$B$9:$B$217)</f>
        <v>0</v>
      </c>
      <c r="AP220" s="15">
        <f>SUMPRODUCT(AP9:AP217,$B$9:$B$217)</f>
        <v>0</v>
      </c>
      <c r="AQ220" s="15">
        <f>SUMPRODUCT(AQ9:AQ217,$B$9:$B$217)</f>
        <v>0</v>
      </c>
      <c r="AR220" s="15">
        <f>SUMPRODUCT(AR9:AR217,$B$9:$B$217)</f>
        <v>0</v>
      </c>
      <c r="AS220" s="15">
        <f>SUMPRODUCT(AS9:AS217,$B$9:$B$217)</f>
        <v>0</v>
      </c>
      <c r="AT220" s="15">
        <f>SUMPRODUCT(AT9:AT217,$B$9:$B$217)</f>
        <v>0</v>
      </c>
      <c r="AU220" s="15">
        <f>SUMPRODUCT(AU9:AU217,$B$9:$B$217)</f>
        <v>0</v>
      </c>
      <c r="AV220" s="15">
        <f>SUMPRODUCT(AV9:AV217,$B$9:$B$217)</f>
        <v>0</v>
      </c>
      <c r="AW220" s="15">
        <f>SUMPRODUCT(AW9:AW217,$B$9:$B$217)</f>
        <v>0</v>
      </c>
      <c r="AX220" s="15">
        <f>SUMPRODUCT(AX9:AX217,$B$9:$B$217)</f>
        <v>0</v>
      </c>
      <c r="AY220" s="15">
        <f>SUMPRODUCT(AY9:AY217,$B$9:$B$217)</f>
        <v>0</v>
      </c>
      <c r="AZ220" s="15">
        <f>SUMPRODUCT(AZ9:AZ217,$B$9:$B$217)</f>
        <v>0</v>
      </c>
      <c r="BA220" s="15">
        <f>$BA$10+$BA$11+$BA$12+$BA$13+$BA$14+$BA$15+$BA$16+$BA$17+$BA$18+$BA$19+$BA$20+$BA$21+$BA$22+$BA$23+$BA$24+$BA$25+$BA$26+$BA$27+$BA$28+$BA$29+$BA$30+$BA$31+$BA$33+$BA$34+$BA$35+$BA$36+$BA$37+$BA$38+$BA$39+$BA$40+$BA$41+$BA$42+$BA$43+$BA$44+$BA$45+$BA$47+$BA$48+$BA$50+$BA$51+$BA$52+$BA$53+$BA$54+$BA$55+$BA$56+$BA$57+$BA$58+$BA$59+$BA$60+$BA$61+$BA$62+$BA$63+$BA$64+$BA$65+$BA$66+$BA$67+$BA$68+$BA$69+$BA$70+$BA$71+$BA$72+$BA$73+$BA$74+$BA$75+$BA$76+$BA$77+$BA$78+$BA$79+$BA$80+$BA$81+$BA$82+$BA$83+$BA$84+$BA$85+$BA$86+$BA$87+$BA$88+$BA$89+$BA$90+$BA$91+$BA$92+$BA$93+$BA$94+$BA$95+$BA$97+$BA$98+$BA$99+$BA$100+$BA$102+$BA$103+$BA$104+$BA$105+$BA$106+$BA$107+$BA$108+$BA$109+$BA$110+$BA$111+$BA$112+$BA$114+$BA$115+$BA$116+$BA$117+$BA$118+$BA$120+$BA$121+$BA$122+$BA$123+$BA$124+$BA$125+$BA$126+$BA$127+$BA$128+$BA$129+$BA$130+$BA$131+$BA$132+$BA$133+$BA$134+$BA$135+$BA$136+$BA$137+$BA$139+$BA$140+$BA$141+$BA$142+$BA$143+$BA$144+$BA$145+$BA$146+$BA$147+$BA$148+$BA$149+$BA$150+$BA$151+$BA$152+$BA$153+$BA$154+$BA$155+$BA$156+$BA$157+$BA$158+$BA$159+$BA$160+$BA$161+$BA$163+$BA$164+$BA$165+$BA$166+$BA$167+$BA$168+$BA$169+$BA$170+$BA$171+$BA$172+$BA$173+$BA$174+$BA$175+$BA$176+$BA$177+$BA$178+$BA$179+$BA$180+$BA$181+$BA$183+$BA$187+$BA$192+$BA$198+$BA$202+$BA$207+$BA$210+$BA$214+$BA$217</f>
        <v>0</v>
      </c>
      <c r="BB220" s="13">
        <f>$BB$10+$BB$11+$BB$12+$BB$13+$BB$14+$BB$15+$BB$16+$BB$17+$BB$18+$BB$19+$BB$20+$BB$21+$BB$22+$BB$23+$BB$24+$BB$25+$BB$26+$BB$27+$BB$28+$BB$29+$BB$30+$BB$31+$BB$33+$BB$34+$BB$35+$BB$36+$BB$37+$BB$38+$BB$39+$BB$40+$BB$41+$BB$42+$BB$43+$BB$44+$BB$45+$BB$47+$BB$48+$BB$50+$BB$51+$BB$52+$BB$53+$BB$54+$BB$55+$BB$56+$BB$57+$BB$58+$BB$59+$BB$60+$BB$61+$BB$62+$BB$63+$BB$64+$BB$65+$BB$66+$BB$67+$BB$68+$BB$69+$BB$70+$BB$71+$BB$72+$BB$73+$BB$74+$BB$75+$BB$76+$BB$77+$BB$78+$BB$79+$BB$80+$BB$81+$BB$82+$BB$83+$BB$84+$BB$85+$BB$86+$BB$87+$BB$88+$BB$89+$BB$90+$BB$91+$BB$92+$BB$93+$BB$94+$BB$95+$BB$97+$BB$98+$BB$99+$BB$100+$BB$102+$BB$103+$BB$104+$BB$105+$BB$106+$BB$107+$BB$108+$BB$109+$BB$110+$BB$111+$BB$112+$BB$114+$BB$115+$BB$116+$BB$117+$BB$118+$BB$120+$BB$121+$BB$122+$BB$123+$BB$124+$BB$125+$BB$126+$BB$127+$BB$128+$BB$129+$BB$130+$BB$131+$BB$132+$BB$133+$BB$134+$BB$135+$BB$136+$BB$137+$BB$139+$BB$140+$BB$141+$BB$142+$BB$143+$BB$144+$BB$145+$BB$146+$BB$147+$BB$148+$BB$149+$BB$150+$BB$151+$BB$152+$BB$153+$BB$154+$BB$155+$BB$156+$BB$157+$BB$158+$BB$159+$BB$160+$BB$161+$BB$163+$BB$164+$BB$165+$BB$166+$BB$167+$BB$168+$BB$169+$BB$170+$BB$171+$BB$172+$BB$173+$BB$174+$BB$175+$BB$176+$BB$177+$BB$178+$BB$179+$BB$180+$BB$181+$BB$183+$BB$187+$BB$192+$BB$198+$BB$202+$BB$207+$BB$210+$BB$214+$BB$217</f>
        <v>0</v>
      </c>
    </row>
  </sheetData>
  <sheetProtection algorithmName="SHA-512" hashValue="oa/buEs6YbCcCGhnU/lBkIfCPh+vE5fO/hi6yCV1xDSKuEpu8M8f1zwDU/M5H9ppw7gmSeNND2zf+/9EAzNiYA==" saltValue="fW3kr5/RAxk1J5q/Fkdd+A==" spinCount="100000" sheet="1" objects="1" scenarios="1"/>
  <mergeCells count="44">
    <mergeCell ref="A215:B215"/>
    <mergeCell ref="A216:B216"/>
    <mergeCell ref="C215:BB216"/>
    <mergeCell ref="A218:B218"/>
    <mergeCell ref="A219:B219"/>
    <mergeCell ref="C218:BB219"/>
    <mergeCell ref="A209:B209"/>
    <mergeCell ref="C208:BB209"/>
    <mergeCell ref="A211:B211"/>
    <mergeCell ref="A212:B212"/>
    <mergeCell ref="A213:B213"/>
    <mergeCell ref="C211:BB213"/>
    <mergeCell ref="A203:B203"/>
    <mergeCell ref="A204:B204"/>
    <mergeCell ref="A205:B205"/>
    <mergeCell ref="A206:B206"/>
    <mergeCell ref="C203:BB206"/>
    <mergeCell ref="A208:B208"/>
    <mergeCell ref="A196:B196"/>
    <mergeCell ref="A197:B197"/>
    <mergeCell ref="C193:BB197"/>
    <mergeCell ref="A199:B199"/>
    <mergeCell ref="A200:B200"/>
    <mergeCell ref="A201:B201"/>
    <mergeCell ref="C199:BB201"/>
    <mergeCell ref="A190:B190"/>
    <mergeCell ref="A191:B191"/>
    <mergeCell ref="C188:BB191"/>
    <mergeCell ref="A193:B193"/>
    <mergeCell ref="A194:B194"/>
    <mergeCell ref="A195:B195"/>
    <mergeCell ref="A184:B184"/>
    <mergeCell ref="A185:B185"/>
    <mergeCell ref="A186:B186"/>
    <mergeCell ref="C184:BB186"/>
    <mergeCell ref="A188:B188"/>
    <mergeCell ref="A189:B189"/>
    <mergeCell ref="A1:B4"/>
    <mergeCell ref="C1:BB4"/>
    <mergeCell ref="C5:AZ5"/>
    <mergeCell ref="C6:AZ6"/>
    <mergeCell ref="C7:AZ7"/>
    <mergeCell ref="BA5:BA7"/>
    <mergeCell ref="BB5:BB7"/>
  </mergeCells>
  <pageMargins left="0.39370078740157499" right="0.39370078740157499" top="0.75" bottom="0.75" header="0.3" footer="0.3"/>
  <pageSetup paperSize="9" scale="80" orientation="portrait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216"/>
  <sheetViews>
    <sheetView workbookViewId="0">
      <pane xSplit="2" ySplit="8" topLeftCell="C9" activePane="bottomRight" state="frozenSplit"/>
      <selection pane="bottomLeft" activeCell="A9" sqref="A9"/>
      <selection pane="topRight" activeCell="C1" sqref="C1"/>
      <selection pane="bottomRight" sqref="A1:B4"/>
    </sheetView>
  </sheetViews>
  <sheetFormatPr defaultRowHeight="15" x14ac:dyDescent="0.25"/>
  <cols>
    <col min="1" max="1" width="70.7109375" customWidth="1"/>
    <col min="2" max="2" width="7.7109375" customWidth="1"/>
    <col min="3" max="52" width="3.7109375" customWidth="1"/>
    <col min="53" max="53" width="5.7109375" customWidth="1"/>
    <col min="54" max="54" width="20.7109375" customWidth="1"/>
  </cols>
  <sheetData>
    <row r="1" spans="1:54" ht="35.1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</row>
    <row r="2" spans="1:54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spans="1:5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spans="1:54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spans="1:54" ht="20.100000000000001" customHeight="1" x14ac:dyDescent="0.25">
      <c r="C5" s="3" t="s">
        <v>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5" t="s">
        <v>5</v>
      </c>
      <c r="BB5" s="6" t="s">
        <v>6</v>
      </c>
    </row>
    <row r="6" spans="1:54" ht="20.100000000000001" customHeight="1" x14ac:dyDescent="0.25">
      <c r="C6" s="3" t="s">
        <v>197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5"/>
      <c r="BB6" s="6"/>
    </row>
    <row r="7" spans="1:54" ht="20.100000000000001" customHeight="1" x14ac:dyDescent="0.25">
      <c r="C7" s="3" t="s">
        <v>198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5"/>
      <c r="BB7" s="6"/>
    </row>
    <row r="8" spans="1:54" ht="14.1" customHeight="1" x14ac:dyDescent="0.25">
      <c r="A8" s="7" t="s">
        <v>0</v>
      </c>
      <c r="B8" s="8" t="s">
        <v>1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8"/>
      <c r="BB8" s="8"/>
    </row>
    <row r="9" spans="1:54" x14ac:dyDescent="0.25">
      <c r="A9" s="10" t="s">
        <v>7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</row>
    <row r="10" spans="1:54" ht="14.1" customHeight="1" x14ac:dyDescent="0.25">
      <c r="A10" s="12" t="s">
        <v>199</v>
      </c>
      <c r="B10" s="13">
        <v>142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5">
        <f>SUM(C10:AZ10)</f>
        <v>0</v>
      </c>
      <c r="BB10" s="13">
        <f>BA10*B10</f>
        <v>0</v>
      </c>
    </row>
    <row r="11" spans="1:54" ht="14.1" customHeight="1" x14ac:dyDescent="0.25">
      <c r="A11" s="12" t="s">
        <v>200</v>
      </c>
      <c r="B11" s="13">
        <v>142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5">
        <f>SUM(C11:AZ11)</f>
        <v>0</v>
      </c>
      <c r="BB11" s="13">
        <f>BA11*B11</f>
        <v>0</v>
      </c>
    </row>
    <row r="12" spans="1:54" ht="14.1" customHeight="1" x14ac:dyDescent="0.25">
      <c r="A12" s="12" t="s">
        <v>8</v>
      </c>
      <c r="B12" s="13">
        <v>127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5">
        <f>SUM(C12:AZ12)</f>
        <v>0</v>
      </c>
      <c r="BB12" s="13">
        <f>BA12*B12</f>
        <v>0</v>
      </c>
    </row>
    <row r="13" spans="1:54" ht="14.1" customHeight="1" x14ac:dyDescent="0.25">
      <c r="A13" s="12" t="s">
        <v>9</v>
      </c>
      <c r="B13" s="13">
        <v>127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5">
        <f>SUM(C13:AZ13)</f>
        <v>0</v>
      </c>
      <c r="BB13" s="13">
        <f>BA13*B13</f>
        <v>0</v>
      </c>
    </row>
    <row r="14" spans="1:54" ht="14.1" customHeight="1" x14ac:dyDescent="0.25">
      <c r="A14" s="12" t="s">
        <v>10</v>
      </c>
      <c r="B14" s="13">
        <v>105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5">
        <f>SUM(C14:AZ14)</f>
        <v>0</v>
      </c>
      <c r="BB14" s="13">
        <f>BA14*B14</f>
        <v>0</v>
      </c>
    </row>
    <row r="15" spans="1:54" ht="14.1" customHeight="1" x14ac:dyDescent="0.25">
      <c r="A15" s="12" t="s">
        <v>11</v>
      </c>
      <c r="B15" s="13">
        <v>149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5">
        <f>SUM(C15:AZ15)</f>
        <v>0</v>
      </c>
      <c r="BB15" s="13">
        <f>BA15*B15</f>
        <v>0</v>
      </c>
    </row>
    <row r="16" spans="1:54" ht="14.1" customHeight="1" x14ac:dyDescent="0.25">
      <c r="A16" s="12" t="s">
        <v>12</v>
      </c>
      <c r="B16" s="13">
        <v>149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5">
        <f>SUM(C16:AZ16)</f>
        <v>0</v>
      </c>
      <c r="BB16" s="13">
        <f>BA16*B16</f>
        <v>0</v>
      </c>
    </row>
    <row r="17" spans="1:54" ht="14.1" customHeight="1" x14ac:dyDescent="0.25">
      <c r="A17" s="12" t="s">
        <v>13</v>
      </c>
      <c r="B17" s="13">
        <v>135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5">
        <f>SUM(C17:AZ17)</f>
        <v>0</v>
      </c>
      <c r="BB17" s="13">
        <f>BA17*B17</f>
        <v>0</v>
      </c>
    </row>
    <row r="18" spans="1:54" ht="14.1" customHeight="1" x14ac:dyDescent="0.25">
      <c r="A18" s="12" t="s">
        <v>14</v>
      </c>
      <c r="B18" s="13">
        <v>135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5">
        <f>SUM(C18:AZ18)</f>
        <v>0</v>
      </c>
      <c r="BB18" s="13">
        <f>BA18*B18</f>
        <v>0</v>
      </c>
    </row>
    <row r="19" spans="1:54" ht="14.1" customHeight="1" x14ac:dyDescent="0.25">
      <c r="A19" s="12" t="s">
        <v>15</v>
      </c>
      <c r="B19" s="13">
        <v>135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5">
        <f>SUM(C19:AZ19)</f>
        <v>0</v>
      </c>
      <c r="BB19" s="13">
        <f>BA19*B19</f>
        <v>0</v>
      </c>
    </row>
    <row r="20" spans="1:54" ht="14.1" customHeight="1" x14ac:dyDescent="0.25">
      <c r="A20" s="12" t="s">
        <v>16</v>
      </c>
      <c r="B20" s="13">
        <v>142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5">
        <f>SUM(C20:AZ20)</f>
        <v>0</v>
      </c>
      <c r="BB20" s="13">
        <f>BA20*B20</f>
        <v>0</v>
      </c>
    </row>
    <row r="21" spans="1:54" ht="14.1" customHeight="1" x14ac:dyDescent="0.25">
      <c r="A21" s="12" t="s">
        <v>18</v>
      </c>
      <c r="B21" s="13">
        <v>157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5">
        <f>SUM(C21:AZ21)</f>
        <v>0</v>
      </c>
      <c r="BB21" s="13">
        <f>BA21*B21</f>
        <v>0</v>
      </c>
    </row>
    <row r="22" spans="1:54" ht="14.1" customHeight="1" x14ac:dyDescent="0.25">
      <c r="A22" s="12" t="s">
        <v>19</v>
      </c>
      <c r="B22" s="13">
        <v>112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5">
        <f>SUM(C22:AZ22)</f>
        <v>0</v>
      </c>
      <c r="BB22" s="13">
        <f>BA22*B22</f>
        <v>0</v>
      </c>
    </row>
    <row r="23" spans="1:54" ht="14.1" customHeight="1" x14ac:dyDescent="0.25">
      <c r="A23" s="12" t="s">
        <v>20</v>
      </c>
      <c r="B23" s="13">
        <v>268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5">
        <f>SUM(C23:AZ23)</f>
        <v>0</v>
      </c>
      <c r="BB23" s="13">
        <f>BA23*B23</f>
        <v>0</v>
      </c>
    </row>
    <row r="24" spans="1:54" ht="14.1" customHeight="1" x14ac:dyDescent="0.25">
      <c r="A24" s="12" t="s">
        <v>21</v>
      </c>
      <c r="B24" s="13">
        <v>268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5">
        <f>SUM(C24:AZ24)</f>
        <v>0</v>
      </c>
      <c r="BB24" s="13">
        <f>BA24*B24</f>
        <v>0</v>
      </c>
    </row>
    <row r="25" spans="1:54" ht="14.1" customHeight="1" x14ac:dyDescent="0.25">
      <c r="A25" s="12" t="s">
        <v>22</v>
      </c>
      <c r="B25" s="13">
        <v>268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5">
        <f>SUM(C25:AZ25)</f>
        <v>0</v>
      </c>
      <c r="BB25" s="13">
        <f>BA25*B25</f>
        <v>0</v>
      </c>
    </row>
    <row r="26" spans="1:54" ht="14.1" customHeight="1" x14ac:dyDescent="0.25">
      <c r="A26" s="12" t="s">
        <v>23</v>
      </c>
      <c r="B26" s="13">
        <v>230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5">
        <f>SUM(C26:AZ26)</f>
        <v>0</v>
      </c>
      <c r="BB26" s="13">
        <f>BA26*B26</f>
        <v>0</v>
      </c>
    </row>
    <row r="27" spans="1:54" ht="14.1" customHeight="1" x14ac:dyDescent="0.25">
      <c r="A27" s="12" t="s">
        <v>17</v>
      </c>
      <c r="B27" s="13">
        <v>135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5">
        <f>SUM(C27:AZ27)</f>
        <v>0</v>
      </c>
      <c r="BB27" s="13">
        <f>BA27*B27</f>
        <v>0</v>
      </c>
    </row>
    <row r="28" spans="1:54" ht="14.1" customHeight="1" x14ac:dyDescent="0.25">
      <c r="A28" s="12" t="s">
        <v>24</v>
      </c>
      <c r="B28" s="13">
        <v>253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5">
        <f>SUM(C28:AZ28)</f>
        <v>0</v>
      </c>
      <c r="BB28" s="13">
        <f>BA28*B28</f>
        <v>0</v>
      </c>
    </row>
    <row r="29" spans="1:54" ht="14.1" customHeight="1" x14ac:dyDescent="0.25">
      <c r="A29" s="12" t="s">
        <v>27</v>
      </c>
      <c r="B29" s="13">
        <v>164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5">
        <f>SUM(C29:AZ29)</f>
        <v>0</v>
      </c>
      <c r="BB29" s="13">
        <f>BA29*B29</f>
        <v>0</v>
      </c>
    </row>
    <row r="30" spans="1:54" ht="14.1" customHeight="1" x14ac:dyDescent="0.25">
      <c r="A30" s="12" t="s">
        <v>201</v>
      </c>
      <c r="B30" s="13">
        <v>129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5">
        <f>SUM(C30:AZ30)</f>
        <v>0</v>
      </c>
      <c r="BB30" s="13">
        <f>BA30*B30</f>
        <v>0</v>
      </c>
    </row>
    <row r="31" spans="1:54" ht="14.1" customHeight="1" x14ac:dyDescent="0.25">
      <c r="A31" s="12" t="s">
        <v>29</v>
      </c>
      <c r="B31" s="13">
        <v>224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5">
        <f>SUM(C31:AZ31)</f>
        <v>0</v>
      </c>
      <c r="BB31" s="13">
        <f>BA31*B31</f>
        <v>0</v>
      </c>
    </row>
    <row r="32" spans="1:54" x14ac:dyDescent="0.25">
      <c r="A32" s="10" t="s">
        <v>30</v>
      </c>
      <c r="B32" s="11"/>
      <c r="C32" s="11"/>
      <c r="D32" s="11"/>
      <c r="E32" s="11"/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  <c r="AA32" s="11"/>
      <c r="AB32" s="11"/>
      <c r="AC32" s="11"/>
      <c r="AD32" s="11"/>
      <c r="AE32" s="11"/>
      <c r="AF32" s="11"/>
      <c r="AG32" s="11"/>
      <c r="AH32" s="11"/>
      <c r="AI32" s="11"/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</row>
    <row r="33" spans="1:54" ht="14.1" customHeight="1" x14ac:dyDescent="0.25">
      <c r="A33" s="12" t="s">
        <v>31</v>
      </c>
      <c r="B33" s="13">
        <v>184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5">
        <f>SUM(C33:AZ33)</f>
        <v>0</v>
      </c>
      <c r="BB33" s="13">
        <f>BA33*B33</f>
        <v>0</v>
      </c>
    </row>
    <row r="34" spans="1:54" ht="14.1" customHeight="1" x14ac:dyDescent="0.25">
      <c r="A34" s="12" t="s">
        <v>32</v>
      </c>
      <c r="B34" s="13">
        <v>173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5">
        <f>SUM(C34:AZ34)</f>
        <v>0</v>
      </c>
      <c r="BB34" s="13">
        <f>BA34*B34</f>
        <v>0</v>
      </c>
    </row>
    <row r="35" spans="1:54" ht="14.1" customHeight="1" x14ac:dyDescent="0.25">
      <c r="A35" s="12" t="s">
        <v>33</v>
      </c>
      <c r="B35" s="13">
        <v>142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5">
        <f>SUM(C35:AZ35)</f>
        <v>0</v>
      </c>
      <c r="BB35" s="13">
        <f>BA35*B35</f>
        <v>0</v>
      </c>
    </row>
    <row r="36" spans="1:54" ht="14.1" customHeight="1" x14ac:dyDescent="0.25">
      <c r="A36" s="12" t="s">
        <v>34</v>
      </c>
      <c r="B36" s="13">
        <v>142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5">
        <f>SUM(C36:AZ36)</f>
        <v>0</v>
      </c>
      <c r="BB36" s="13">
        <f>BA36*B36</f>
        <v>0</v>
      </c>
    </row>
    <row r="37" spans="1:54" ht="14.1" customHeight="1" x14ac:dyDescent="0.25">
      <c r="A37" s="12" t="s">
        <v>35</v>
      </c>
      <c r="B37" s="13">
        <v>142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5">
        <f>SUM(C37:AZ37)</f>
        <v>0</v>
      </c>
      <c r="BB37" s="13">
        <f>BA37*B37</f>
        <v>0</v>
      </c>
    </row>
    <row r="38" spans="1:54" ht="14.1" customHeight="1" x14ac:dyDescent="0.25">
      <c r="A38" s="12" t="s">
        <v>36</v>
      </c>
      <c r="B38" s="13">
        <v>149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5">
        <f>SUM(C38:AZ38)</f>
        <v>0</v>
      </c>
      <c r="BB38" s="13">
        <f>BA38*B38</f>
        <v>0</v>
      </c>
    </row>
    <row r="39" spans="1:54" ht="14.1" customHeight="1" x14ac:dyDescent="0.25">
      <c r="A39" s="12" t="s">
        <v>37</v>
      </c>
      <c r="B39" s="13">
        <v>151</v>
      </c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5">
        <f>SUM(C39:AZ39)</f>
        <v>0</v>
      </c>
      <c r="BB39" s="13">
        <f>BA39*B39</f>
        <v>0</v>
      </c>
    </row>
    <row r="40" spans="1:54" ht="14.1" customHeight="1" x14ac:dyDescent="0.25">
      <c r="A40" s="12" t="s">
        <v>38</v>
      </c>
      <c r="B40" s="13">
        <v>124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5">
        <f>SUM(C40:AZ40)</f>
        <v>0</v>
      </c>
      <c r="BB40" s="13">
        <f>BA40*B40</f>
        <v>0</v>
      </c>
    </row>
    <row r="41" spans="1:54" ht="14.1" customHeight="1" x14ac:dyDescent="0.25">
      <c r="A41" s="12" t="s">
        <v>39</v>
      </c>
      <c r="B41" s="13">
        <v>124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5">
        <f>SUM(C41:AZ41)</f>
        <v>0</v>
      </c>
      <c r="BB41" s="13">
        <f>BA41*B41</f>
        <v>0</v>
      </c>
    </row>
    <row r="42" spans="1:54" ht="14.1" customHeight="1" x14ac:dyDescent="0.25">
      <c r="A42" s="12" t="s">
        <v>40</v>
      </c>
      <c r="B42" s="13">
        <v>135</v>
      </c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5">
        <f>SUM(C42:AZ42)</f>
        <v>0</v>
      </c>
      <c r="BB42" s="13">
        <f>BA42*B42</f>
        <v>0</v>
      </c>
    </row>
    <row r="43" spans="1:54" ht="14.1" customHeight="1" x14ac:dyDescent="0.25">
      <c r="A43" s="12" t="s">
        <v>41</v>
      </c>
      <c r="B43" s="13">
        <v>138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5">
        <f>SUM(C43:AZ43)</f>
        <v>0</v>
      </c>
      <c r="BB43" s="13">
        <f>BA43*B43</f>
        <v>0</v>
      </c>
    </row>
    <row r="44" spans="1:54" ht="14.1" customHeight="1" x14ac:dyDescent="0.25">
      <c r="A44" s="12" t="s">
        <v>42</v>
      </c>
      <c r="B44" s="13">
        <v>130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5">
        <f>SUM(C44:AZ44)</f>
        <v>0</v>
      </c>
      <c r="BB44" s="13">
        <f>BA44*B44</f>
        <v>0</v>
      </c>
    </row>
    <row r="45" spans="1:54" ht="14.1" customHeight="1" x14ac:dyDescent="0.25">
      <c r="A45" s="12" t="s">
        <v>43</v>
      </c>
      <c r="B45" s="13">
        <v>137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5">
        <f>SUM(C45:AZ45)</f>
        <v>0</v>
      </c>
      <c r="BB45" s="13">
        <f>BA45*B45</f>
        <v>0</v>
      </c>
    </row>
    <row r="46" spans="1:54" x14ac:dyDescent="0.25">
      <c r="A46" s="10" t="s">
        <v>44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</row>
    <row r="47" spans="1:54" ht="14.1" customHeight="1" x14ac:dyDescent="0.25">
      <c r="A47" s="12" t="s">
        <v>202</v>
      </c>
      <c r="B47" s="13">
        <v>142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5">
        <f>SUM(C47:AZ47)</f>
        <v>0</v>
      </c>
      <c r="BB47" s="13">
        <f>BA47*B47</f>
        <v>0</v>
      </c>
    </row>
    <row r="48" spans="1:54" ht="14.1" customHeight="1" x14ac:dyDescent="0.25">
      <c r="A48" s="12" t="s">
        <v>203</v>
      </c>
      <c r="B48" s="13">
        <v>143</v>
      </c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5">
        <f>SUM(C48:AZ48)</f>
        <v>0</v>
      </c>
      <c r="BB48" s="13">
        <f>BA48*B48</f>
        <v>0</v>
      </c>
    </row>
    <row r="49" spans="1:54" x14ac:dyDescent="0.25">
      <c r="A49" s="10" t="s">
        <v>47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</row>
    <row r="50" spans="1:54" ht="14.1" customHeight="1" x14ac:dyDescent="0.25">
      <c r="A50" s="12" t="s">
        <v>73</v>
      </c>
      <c r="B50" s="13">
        <v>191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5">
        <f>SUM(C50:AZ50)</f>
        <v>0</v>
      </c>
      <c r="BB50" s="13">
        <f>BA50*B50</f>
        <v>0</v>
      </c>
    </row>
    <row r="51" spans="1:54" ht="14.1" customHeight="1" x14ac:dyDescent="0.25">
      <c r="A51" s="12" t="s">
        <v>49</v>
      </c>
      <c r="B51" s="13">
        <v>273</v>
      </c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5">
        <f>SUM(C51:AZ51)</f>
        <v>0</v>
      </c>
      <c r="BB51" s="13">
        <f>BA51*B51</f>
        <v>0</v>
      </c>
    </row>
    <row r="52" spans="1:54" ht="14.1" customHeight="1" x14ac:dyDescent="0.25">
      <c r="A52" s="12" t="s">
        <v>48</v>
      </c>
      <c r="B52" s="13">
        <v>245</v>
      </c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5">
        <f>SUM(C52:AZ52)</f>
        <v>0</v>
      </c>
      <c r="BB52" s="13">
        <f>BA52*B52</f>
        <v>0</v>
      </c>
    </row>
    <row r="53" spans="1:54" ht="14.1" customHeight="1" x14ac:dyDescent="0.25">
      <c r="A53" s="12" t="s">
        <v>60</v>
      </c>
      <c r="B53" s="13">
        <v>219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5">
        <f>SUM(C53:AZ53)</f>
        <v>0</v>
      </c>
      <c r="BB53" s="13">
        <f>BA53*B53</f>
        <v>0</v>
      </c>
    </row>
    <row r="54" spans="1:54" ht="14.1" customHeight="1" x14ac:dyDescent="0.25">
      <c r="A54" s="12" t="s">
        <v>52</v>
      </c>
      <c r="B54" s="13">
        <v>178</v>
      </c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5">
        <f>SUM(C54:AZ54)</f>
        <v>0</v>
      </c>
      <c r="BB54" s="13">
        <f>BA54*B54</f>
        <v>0</v>
      </c>
    </row>
    <row r="55" spans="1:54" ht="14.1" customHeight="1" x14ac:dyDescent="0.25">
      <c r="A55" s="12" t="s">
        <v>72</v>
      </c>
      <c r="B55" s="13">
        <v>219</v>
      </c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5">
        <f>SUM(C55:AZ55)</f>
        <v>0</v>
      </c>
      <c r="BB55" s="13">
        <f>BA55*B55</f>
        <v>0</v>
      </c>
    </row>
    <row r="56" spans="1:54" ht="14.1" customHeight="1" x14ac:dyDescent="0.25">
      <c r="A56" s="12" t="s">
        <v>53</v>
      </c>
      <c r="B56" s="13">
        <v>219</v>
      </c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5">
        <f>SUM(C56:AZ56)</f>
        <v>0</v>
      </c>
      <c r="BB56" s="13">
        <f>BA56*B56</f>
        <v>0</v>
      </c>
    </row>
    <row r="57" spans="1:54" ht="14.1" customHeight="1" x14ac:dyDescent="0.25">
      <c r="A57" s="12" t="s">
        <v>54</v>
      </c>
      <c r="B57" s="13">
        <v>205</v>
      </c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5">
        <f>SUM(C57:AZ57)</f>
        <v>0</v>
      </c>
      <c r="BB57" s="13">
        <f>BA57*B57</f>
        <v>0</v>
      </c>
    </row>
    <row r="58" spans="1:54" ht="14.1" customHeight="1" x14ac:dyDescent="0.25">
      <c r="A58" s="12" t="s">
        <v>55</v>
      </c>
      <c r="B58" s="13">
        <v>219</v>
      </c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5">
        <f>SUM(C58:AZ58)</f>
        <v>0</v>
      </c>
      <c r="BB58" s="13">
        <f>BA58*B58</f>
        <v>0</v>
      </c>
    </row>
    <row r="59" spans="1:54" ht="14.1" customHeight="1" x14ac:dyDescent="0.25">
      <c r="A59" s="12" t="s">
        <v>56</v>
      </c>
      <c r="B59" s="13">
        <v>205</v>
      </c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5">
        <f>SUM(C59:AZ59)</f>
        <v>0</v>
      </c>
      <c r="BB59" s="13">
        <f>BA59*B59</f>
        <v>0</v>
      </c>
    </row>
    <row r="60" spans="1:54" ht="14.1" customHeight="1" x14ac:dyDescent="0.25">
      <c r="A60" s="12" t="s">
        <v>57</v>
      </c>
      <c r="B60" s="13">
        <v>205</v>
      </c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5">
        <f>SUM(C60:AZ60)</f>
        <v>0</v>
      </c>
      <c r="BB60" s="13">
        <f>BA60*B60</f>
        <v>0</v>
      </c>
    </row>
    <row r="61" spans="1:54" ht="14.1" customHeight="1" x14ac:dyDescent="0.25">
      <c r="A61" s="12" t="s">
        <v>58</v>
      </c>
      <c r="B61" s="13">
        <v>219</v>
      </c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5">
        <f>SUM(C61:AZ61)</f>
        <v>0</v>
      </c>
      <c r="BB61" s="13">
        <f>BA61*B61</f>
        <v>0</v>
      </c>
    </row>
    <row r="62" spans="1:54" ht="14.1" customHeight="1" x14ac:dyDescent="0.25">
      <c r="A62" s="12" t="s">
        <v>59</v>
      </c>
      <c r="B62" s="13">
        <v>219</v>
      </c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5">
        <f>SUM(C62:AZ62)</f>
        <v>0</v>
      </c>
      <c r="BB62" s="13">
        <f>BA62*B62</f>
        <v>0</v>
      </c>
    </row>
    <row r="63" spans="1:54" ht="14.1" customHeight="1" x14ac:dyDescent="0.25">
      <c r="A63" s="12" t="s">
        <v>61</v>
      </c>
      <c r="B63" s="13">
        <v>205</v>
      </c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5">
        <f>SUM(C63:AZ63)</f>
        <v>0</v>
      </c>
      <c r="BB63" s="13">
        <f>BA63*B63</f>
        <v>0</v>
      </c>
    </row>
    <row r="64" spans="1:54" ht="14.1" customHeight="1" x14ac:dyDescent="0.25">
      <c r="A64" s="12" t="s">
        <v>62</v>
      </c>
      <c r="B64" s="13">
        <v>219</v>
      </c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5">
        <f>SUM(C64:AZ64)</f>
        <v>0</v>
      </c>
      <c r="BB64" s="13">
        <f>BA64*B64</f>
        <v>0</v>
      </c>
    </row>
    <row r="65" spans="1:54" ht="14.1" customHeight="1" x14ac:dyDescent="0.25">
      <c r="A65" s="12" t="s">
        <v>63</v>
      </c>
      <c r="B65" s="13">
        <v>205</v>
      </c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5">
        <f>SUM(C65:AZ65)</f>
        <v>0</v>
      </c>
      <c r="BB65" s="13">
        <f>BA65*B65</f>
        <v>0</v>
      </c>
    </row>
    <row r="66" spans="1:54" ht="14.1" customHeight="1" x14ac:dyDescent="0.25">
      <c r="A66" s="12" t="s">
        <v>64</v>
      </c>
      <c r="B66" s="13">
        <v>226</v>
      </c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5">
        <f>SUM(C66:AZ66)</f>
        <v>0</v>
      </c>
      <c r="BB66" s="13">
        <f>BA66*B66</f>
        <v>0</v>
      </c>
    </row>
    <row r="67" spans="1:54" ht="14.1" customHeight="1" x14ac:dyDescent="0.25">
      <c r="A67" s="12" t="s">
        <v>71</v>
      </c>
      <c r="B67" s="13">
        <v>184</v>
      </c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5">
        <f>SUM(C67:AZ67)</f>
        <v>0</v>
      </c>
      <c r="BB67" s="13">
        <f>BA67*B67</f>
        <v>0</v>
      </c>
    </row>
    <row r="68" spans="1:54" ht="14.1" customHeight="1" x14ac:dyDescent="0.25">
      <c r="A68" s="12" t="s">
        <v>65</v>
      </c>
      <c r="B68" s="13">
        <v>191</v>
      </c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5">
        <f>SUM(C68:AZ68)</f>
        <v>0</v>
      </c>
      <c r="BB68" s="13">
        <f>BA68*B68</f>
        <v>0</v>
      </c>
    </row>
    <row r="69" spans="1:54" ht="14.1" customHeight="1" x14ac:dyDescent="0.25">
      <c r="A69" s="12" t="s">
        <v>66</v>
      </c>
      <c r="B69" s="13">
        <v>212</v>
      </c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5">
        <f>SUM(C69:AZ69)</f>
        <v>0</v>
      </c>
      <c r="BB69" s="13">
        <f>BA69*B69</f>
        <v>0</v>
      </c>
    </row>
    <row r="70" spans="1:54" ht="14.1" customHeight="1" x14ac:dyDescent="0.25">
      <c r="A70" s="12" t="s">
        <v>67</v>
      </c>
      <c r="B70" s="13">
        <v>191</v>
      </c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5">
        <f>SUM(C70:AZ70)</f>
        <v>0</v>
      </c>
      <c r="BB70" s="13">
        <f>BA70*B70</f>
        <v>0</v>
      </c>
    </row>
    <row r="71" spans="1:54" ht="14.1" customHeight="1" x14ac:dyDescent="0.25">
      <c r="A71" s="12" t="s">
        <v>68</v>
      </c>
      <c r="B71" s="13">
        <v>212</v>
      </c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5">
        <f>SUM(C71:AZ71)</f>
        <v>0</v>
      </c>
      <c r="BB71" s="13">
        <f>BA71*B71</f>
        <v>0</v>
      </c>
    </row>
    <row r="72" spans="1:54" ht="14.1" customHeight="1" x14ac:dyDescent="0.25">
      <c r="A72" s="12" t="s">
        <v>69</v>
      </c>
      <c r="B72" s="13">
        <v>212</v>
      </c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5">
        <f>SUM(C72:AZ72)</f>
        <v>0</v>
      </c>
      <c r="BB72" s="13">
        <f>BA72*B72</f>
        <v>0</v>
      </c>
    </row>
    <row r="73" spans="1:54" ht="14.1" customHeight="1" x14ac:dyDescent="0.25">
      <c r="A73" s="12" t="s">
        <v>70</v>
      </c>
      <c r="B73" s="13">
        <v>219</v>
      </c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5">
        <f>SUM(C73:AZ73)</f>
        <v>0</v>
      </c>
      <c r="BB73" s="13">
        <f>BA73*B73</f>
        <v>0</v>
      </c>
    </row>
    <row r="74" spans="1:54" ht="14.1" customHeight="1" x14ac:dyDescent="0.25">
      <c r="A74" s="12" t="s">
        <v>77</v>
      </c>
      <c r="B74" s="13">
        <v>219</v>
      </c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5">
        <f>SUM(C74:AZ74)</f>
        <v>0</v>
      </c>
      <c r="BB74" s="13">
        <f>BA74*B74</f>
        <v>0</v>
      </c>
    </row>
    <row r="75" spans="1:54" ht="14.1" customHeight="1" x14ac:dyDescent="0.25">
      <c r="A75" s="12" t="s">
        <v>75</v>
      </c>
      <c r="B75" s="13">
        <v>205</v>
      </c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5">
        <f>SUM(C75:AZ75)</f>
        <v>0</v>
      </c>
      <c r="BB75" s="13">
        <f>BA75*B75</f>
        <v>0</v>
      </c>
    </row>
    <row r="76" spans="1:54" ht="14.1" customHeight="1" x14ac:dyDescent="0.25">
      <c r="A76" s="12" t="s">
        <v>76</v>
      </c>
      <c r="B76" s="13">
        <v>219</v>
      </c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5">
        <f>SUM(C76:AZ76)</f>
        <v>0</v>
      </c>
      <c r="BB76" s="13">
        <f>BA76*B76</f>
        <v>0</v>
      </c>
    </row>
    <row r="77" spans="1:54" ht="14.1" customHeight="1" x14ac:dyDescent="0.25">
      <c r="A77" s="12" t="s">
        <v>74</v>
      </c>
      <c r="B77" s="13">
        <v>233</v>
      </c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5">
        <f>SUM(C77:AZ77)</f>
        <v>0</v>
      </c>
      <c r="BB77" s="13">
        <f>BA77*B77</f>
        <v>0</v>
      </c>
    </row>
    <row r="78" spans="1:54" ht="14.1" customHeight="1" x14ac:dyDescent="0.25">
      <c r="A78" s="12" t="s">
        <v>78</v>
      </c>
      <c r="B78" s="13">
        <v>273</v>
      </c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5">
        <f>SUM(C78:AZ78)</f>
        <v>0</v>
      </c>
      <c r="BB78" s="13">
        <f>BA78*B78</f>
        <v>0</v>
      </c>
    </row>
    <row r="79" spans="1:54" ht="14.1" customHeight="1" x14ac:dyDescent="0.25">
      <c r="A79" s="12" t="s">
        <v>79</v>
      </c>
      <c r="B79" s="13">
        <v>476</v>
      </c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5">
        <f>SUM(C79:AZ79)</f>
        <v>0</v>
      </c>
      <c r="BB79" s="13">
        <f>BA79*B79</f>
        <v>0</v>
      </c>
    </row>
    <row r="80" spans="1:54" ht="14.1" customHeight="1" x14ac:dyDescent="0.25">
      <c r="A80" s="12" t="s">
        <v>80</v>
      </c>
      <c r="B80" s="13">
        <v>205</v>
      </c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5">
        <f>SUM(C80:AZ80)</f>
        <v>0</v>
      </c>
      <c r="BB80" s="13">
        <f>BA80*B80</f>
        <v>0</v>
      </c>
    </row>
    <row r="81" spans="1:54" ht="14.1" customHeight="1" x14ac:dyDescent="0.25">
      <c r="A81" s="12" t="s">
        <v>82</v>
      </c>
      <c r="B81" s="13">
        <v>219</v>
      </c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5">
        <f>SUM(C81:AZ81)</f>
        <v>0</v>
      </c>
      <c r="BB81" s="13">
        <f>BA81*B81</f>
        <v>0</v>
      </c>
    </row>
    <row r="82" spans="1:54" ht="14.1" customHeight="1" x14ac:dyDescent="0.25">
      <c r="A82" s="12" t="s">
        <v>83</v>
      </c>
      <c r="B82" s="13">
        <v>205</v>
      </c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5">
        <f>SUM(C82:AZ82)</f>
        <v>0</v>
      </c>
      <c r="BB82" s="13">
        <f>BA82*B82</f>
        <v>0</v>
      </c>
    </row>
    <row r="83" spans="1:54" ht="14.1" customHeight="1" x14ac:dyDescent="0.25">
      <c r="A83" s="12" t="s">
        <v>81</v>
      </c>
      <c r="B83" s="13">
        <v>245</v>
      </c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5">
        <f>SUM(C83:AZ83)</f>
        <v>0</v>
      </c>
      <c r="BB83" s="13">
        <f>BA83*B83</f>
        <v>0</v>
      </c>
    </row>
    <row r="84" spans="1:54" ht="14.1" customHeight="1" x14ac:dyDescent="0.25">
      <c r="A84" s="12" t="s">
        <v>84</v>
      </c>
      <c r="B84" s="13">
        <v>224</v>
      </c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5">
        <f>SUM(C84:AZ84)</f>
        <v>0</v>
      </c>
      <c r="BB84" s="13">
        <f>BA84*B84</f>
        <v>0</v>
      </c>
    </row>
    <row r="85" spans="1:54" ht="14.1" customHeight="1" x14ac:dyDescent="0.25">
      <c r="A85" s="12" t="s">
        <v>85</v>
      </c>
      <c r="B85" s="13">
        <v>187</v>
      </c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5">
        <f>SUM(C85:AZ85)</f>
        <v>0</v>
      </c>
      <c r="BB85" s="13">
        <f>BA85*B85</f>
        <v>0</v>
      </c>
    </row>
    <row r="86" spans="1:54" ht="14.1" customHeight="1" x14ac:dyDescent="0.25">
      <c r="A86" s="12" t="s">
        <v>86</v>
      </c>
      <c r="B86" s="13">
        <v>178</v>
      </c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5">
        <f>SUM(C86:AZ86)</f>
        <v>0</v>
      </c>
      <c r="BB86" s="13">
        <f>BA86*B86</f>
        <v>0</v>
      </c>
    </row>
    <row r="87" spans="1:54" ht="14.1" customHeight="1" x14ac:dyDescent="0.25">
      <c r="A87" s="12" t="s">
        <v>87</v>
      </c>
      <c r="B87" s="13">
        <v>191</v>
      </c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5">
        <f>SUM(C87:AZ87)</f>
        <v>0</v>
      </c>
      <c r="BB87" s="13">
        <f>BA87*B87</f>
        <v>0</v>
      </c>
    </row>
    <row r="88" spans="1:54" ht="14.1" customHeight="1" x14ac:dyDescent="0.25">
      <c r="A88" s="12" t="s">
        <v>88</v>
      </c>
      <c r="B88" s="13">
        <v>233</v>
      </c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5">
        <f>SUM(C88:AZ88)</f>
        <v>0</v>
      </c>
      <c r="BB88" s="13">
        <f>BA88*B88</f>
        <v>0</v>
      </c>
    </row>
    <row r="89" spans="1:54" ht="14.1" customHeight="1" x14ac:dyDescent="0.25">
      <c r="A89" s="12" t="s">
        <v>89</v>
      </c>
      <c r="B89" s="13">
        <v>156</v>
      </c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5">
        <f>SUM(C89:AZ89)</f>
        <v>0</v>
      </c>
      <c r="BB89" s="13">
        <f>BA89*B89</f>
        <v>0</v>
      </c>
    </row>
    <row r="90" spans="1:54" ht="14.1" customHeight="1" x14ac:dyDescent="0.25">
      <c r="A90" s="12" t="s">
        <v>93</v>
      </c>
      <c r="B90" s="13">
        <v>178</v>
      </c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5">
        <f>SUM(C90:AZ90)</f>
        <v>0</v>
      </c>
      <c r="BB90" s="13">
        <f>BA90*B90</f>
        <v>0</v>
      </c>
    </row>
    <row r="91" spans="1:54" ht="14.1" customHeight="1" x14ac:dyDescent="0.25">
      <c r="A91" s="12" t="s">
        <v>92</v>
      </c>
      <c r="B91" s="13">
        <v>137</v>
      </c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5">
        <f>SUM(C91:AZ91)</f>
        <v>0</v>
      </c>
      <c r="BB91" s="13">
        <f>BA91*B91</f>
        <v>0</v>
      </c>
    </row>
    <row r="92" spans="1:54" ht="14.1" customHeight="1" x14ac:dyDescent="0.25">
      <c r="A92" s="12" t="s">
        <v>90</v>
      </c>
      <c r="B92" s="13">
        <v>219</v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5">
        <f>SUM(C92:AZ92)</f>
        <v>0</v>
      </c>
      <c r="BB92" s="13">
        <f>BA92*B92</f>
        <v>0</v>
      </c>
    </row>
    <row r="93" spans="1:54" ht="14.1" customHeight="1" x14ac:dyDescent="0.25">
      <c r="A93" s="12" t="s">
        <v>204</v>
      </c>
      <c r="B93" s="13">
        <v>178</v>
      </c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5">
        <f>SUM(C93:AZ93)</f>
        <v>0</v>
      </c>
      <c r="BB93" s="13">
        <f>BA93*B93</f>
        <v>0</v>
      </c>
    </row>
    <row r="94" spans="1:54" ht="14.1" customHeight="1" x14ac:dyDescent="0.25">
      <c r="A94" s="12" t="s">
        <v>91</v>
      </c>
      <c r="B94" s="13">
        <v>164</v>
      </c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5">
        <f>SUM(C94:AZ94)</f>
        <v>0</v>
      </c>
      <c r="BB94" s="13">
        <f>BA94*B94</f>
        <v>0</v>
      </c>
    </row>
    <row r="95" spans="1:54" x14ac:dyDescent="0.25">
      <c r="A95" s="10" t="s">
        <v>94</v>
      </c>
      <c r="B95" s="11"/>
      <c r="C95" s="11"/>
      <c r="D95" s="11"/>
      <c r="E95" s="11"/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  <c r="AA95" s="11"/>
      <c r="AB95" s="11"/>
      <c r="AC95" s="11"/>
      <c r="AD95" s="11"/>
      <c r="AE95" s="11"/>
      <c r="AF95" s="11"/>
      <c r="AG95" s="11"/>
      <c r="AH95" s="11"/>
      <c r="AI95" s="11"/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</row>
    <row r="96" spans="1:54" ht="14.1" customHeight="1" x14ac:dyDescent="0.25">
      <c r="A96" s="12" t="s">
        <v>205</v>
      </c>
      <c r="B96" s="13">
        <v>108</v>
      </c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5">
        <f>SUM(C96:AZ96)</f>
        <v>0</v>
      </c>
      <c r="BB96" s="13">
        <f>BA96*B96</f>
        <v>0</v>
      </c>
    </row>
    <row r="97" spans="1:54" ht="14.1" customHeight="1" x14ac:dyDescent="0.25">
      <c r="A97" s="12" t="s">
        <v>206</v>
      </c>
      <c r="B97" s="13">
        <v>96</v>
      </c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5">
        <f>SUM(C97:AZ97)</f>
        <v>0</v>
      </c>
      <c r="BB97" s="13">
        <f>BA97*B97</f>
        <v>0</v>
      </c>
    </row>
    <row r="98" spans="1:54" ht="14.1" customHeight="1" x14ac:dyDescent="0.25">
      <c r="A98" s="12" t="s">
        <v>207</v>
      </c>
      <c r="B98" s="13">
        <v>129</v>
      </c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5">
        <f>SUM(C98:AZ98)</f>
        <v>0</v>
      </c>
      <c r="BB98" s="13">
        <f>BA98*B98</f>
        <v>0</v>
      </c>
    </row>
    <row r="99" spans="1:54" ht="14.1" customHeight="1" x14ac:dyDescent="0.25">
      <c r="A99" s="12" t="s">
        <v>96</v>
      </c>
      <c r="B99" s="13">
        <v>96</v>
      </c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5">
        <f>SUM(C99:AZ99)</f>
        <v>0</v>
      </c>
      <c r="BB99" s="13">
        <f>BA99*B99</f>
        <v>0</v>
      </c>
    </row>
    <row r="100" spans="1:54" x14ac:dyDescent="0.25">
      <c r="A100" s="10" t="s">
        <v>99</v>
      </c>
      <c r="B100" s="11"/>
      <c r="C100" s="11"/>
      <c r="D100" s="11"/>
      <c r="E100" s="11"/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  <c r="AA100" s="11"/>
      <c r="AB100" s="11"/>
      <c r="AC100" s="11"/>
      <c r="AD100" s="11"/>
      <c r="AE100" s="11"/>
      <c r="AF100" s="11"/>
      <c r="AG100" s="11"/>
      <c r="AH100" s="11"/>
      <c r="AI100" s="11"/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</row>
    <row r="101" spans="1:54" ht="14.1" customHeight="1" x14ac:dyDescent="0.25">
      <c r="A101" s="12" t="s">
        <v>100</v>
      </c>
      <c r="B101" s="13">
        <v>96</v>
      </c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5">
        <f>SUM(C101:AZ101)</f>
        <v>0</v>
      </c>
      <c r="BB101" s="13">
        <f>BA101*B101</f>
        <v>0</v>
      </c>
    </row>
    <row r="102" spans="1:54" ht="14.1" customHeight="1" x14ac:dyDescent="0.25">
      <c r="A102" s="12" t="s">
        <v>102</v>
      </c>
      <c r="B102" s="13">
        <v>98</v>
      </c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5">
        <f>SUM(C102:AZ102)</f>
        <v>0</v>
      </c>
      <c r="BB102" s="13">
        <f>BA102*B102</f>
        <v>0</v>
      </c>
    </row>
    <row r="103" spans="1:54" ht="14.1" customHeight="1" x14ac:dyDescent="0.25">
      <c r="A103" s="12" t="s">
        <v>103</v>
      </c>
      <c r="B103" s="13">
        <v>140</v>
      </c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5">
        <f>SUM(C103:AZ103)</f>
        <v>0</v>
      </c>
      <c r="BB103" s="13">
        <f>BA103*B103</f>
        <v>0</v>
      </c>
    </row>
    <row r="104" spans="1:54" ht="14.1" customHeight="1" x14ac:dyDescent="0.25">
      <c r="A104" s="12" t="s">
        <v>104</v>
      </c>
      <c r="B104" s="13">
        <v>161</v>
      </c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5">
        <f>SUM(C104:AZ104)</f>
        <v>0</v>
      </c>
      <c r="BB104" s="13">
        <f>BA104*B104</f>
        <v>0</v>
      </c>
    </row>
    <row r="105" spans="1:54" ht="14.1" customHeight="1" x14ac:dyDescent="0.25">
      <c r="A105" s="12" t="s">
        <v>105</v>
      </c>
      <c r="B105" s="13">
        <v>127</v>
      </c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5">
        <f>SUM(C105:AZ105)</f>
        <v>0</v>
      </c>
      <c r="BB105" s="13">
        <f>BA105*B105</f>
        <v>0</v>
      </c>
    </row>
    <row r="106" spans="1:54" ht="14.1" customHeight="1" x14ac:dyDescent="0.25">
      <c r="A106" s="12" t="s">
        <v>101</v>
      </c>
      <c r="B106" s="13">
        <v>178</v>
      </c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5">
        <f>SUM(C106:AZ106)</f>
        <v>0</v>
      </c>
      <c r="BB106" s="13">
        <f>BA106*B106</f>
        <v>0</v>
      </c>
    </row>
    <row r="107" spans="1:54" ht="14.1" customHeight="1" x14ac:dyDescent="0.25">
      <c r="A107" s="12" t="s">
        <v>106</v>
      </c>
      <c r="B107" s="13">
        <v>157</v>
      </c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5">
        <f>SUM(C107:AZ107)</f>
        <v>0</v>
      </c>
      <c r="BB107" s="13">
        <f>BA107*B107</f>
        <v>0</v>
      </c>
    </row>
    <row r="108" spans="1:54" ht="14.1" customHeight="1" x14ac:dyDescent="0.25">
      <c r="A108" s="12" t="s">
        <v>107</v>
      </c>
      <c r="B108" s="13">
        <v>178</v>
      </c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5">
        <f>SUM(C108:AZ108)</f>
        <v>0</v>
      </c>
      <c r="BB108" s="13">
        <f>BA108*B108</f>
        <v>0</v>
      </c>
    </row>
    <row r="109" spans="1:54" ht="14.1" customHeight="1" x14ac:dyDescent="0.25">
      <c r="A109" s="12" t="s">
        <v>108</v>
      </c>
      <c r="B109" s="13">
        <v>151</v>
      </c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5">
        <f>SUM(C109:AZ109)</f>
        <v>0</v>
      </c>
      <c r="BB109" s="13">
        <f>BA109*B109</f>
        <v>0</v>
      </c>
    </row>
    <row r="110" spans="1:54" ht="14.1" customHeight="1" x14ac:dyDescent="0.25">
      <c r="A110" s="12" t="s">
        <v>109</v>
      </c>
      <c r="B110" s="13">
        <v>117</v>
      </c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5">
        <f>SUM(C110:AZ110)</f>
        <v>0</v>
      </c>
      <c r="BB110" s="13">
        <f>BA110*B110</f>
        <v>0</v>
      </c>
    </row>
    <row r="111" spans="1:54" ht="14.1" customHeight="1" x14ac:dyDescent="0.25">
      <c r="A111" s="12" t="s">
        <v>110</v>
      </c>
      <c r="B111" s="13">
        <v>151</v>
      </c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5">
        <f>SUM(C111:AZ111)</f>
        <v>0</v>
      </c>
      <c r="BB111" s="13">
        <f>BA111*B111</f>
        <v>0</v>
      </c>
    </row>
    <row r="112" spans="1:54" x14ac:dyDescent="0.25">
      <c r="A112" s="10" t="s">
        <v>111</v>
      </c>
      <c r="B112" s="11"/>
      <c r="C112" s="11"/>
      <c r="D112" s="11"/>
      <c r="E112" s="11"/>
      <c r="F112" s="11"/>
      <c r="G112" s="11"/>
      <c r="H112" s="11"/>
      <c r="I112" s="11"/>
      <c r="J112" s="11"/>
      <c r="K112" s="11"/>
      <c r="L112" s="11"/>
      <c r="M112" s="11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  <c r="AA112" s="11"/>
      <c r="AB112" s="11"/>
      <c r="AC112" s="11"/>
      <c r="AD112" s="11"/>
      <c r="AE112" s="11"/>
      <c r="AF112" s="11"/>
      <c r="AG112" s="11"/>
      <c r="AH112" s="11"/>
      <c r="AI112" s="11"/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</row>
    <row r="113" spans="1:54" ht="14.1" customHeight="1" x14ac:dyDescent="0.25">
      <c r="A113" s="12" t="s">
        <v>112</v>
      </c>
      <c r="B113" s="13">
        <v>164</v>
      </c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5">
        <f>SUM(C113:AZ113)</f>
        <v>0</v>
      </c>
      <c r="BB113" s="13">
        <f>BA113*B113</f>
        <v>0</v>
      </c>
    </row>
    <row r="114" spans="1:54" ht="14.1" customHeight="1" x14ac:dyDescent="0.25">
      <c r="A114" s="12" t="s">
        <v>113</v>
      </c>
      <c r="B114" s="13">
        <v>172</v>
      </c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5">
        <f>SUM(C114:AZ114)</f>
        <v>0</v>
      </c>
      <c r="BB114" s="13">
        <f>BA114*B114</f>
        <v>0</v>
      </c>
    </row>
    <row r="115" spans="1:54" ht="14.1" customHeight="1" x14ac:dyDescent="0.25">
      <c r="A115" s="12" t="s">
        <v>114</v>
      </c>
      <c r="B115" s="13">
        <v>187</v>
      </c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5">
        <f>SUM(C115:AZ115)</f>
        <v>0</v>
      </c>
      <c r="BB115" s="13">
        <f>BA115*B115</f>
        <v>0</v>
      </c>
    </row>
    <row r="116" spans="1:54" ht="14.1" customHeight="1" x14ac:dyDescent="0.25">
      <c r="A116" s="12" t="s">
        <v>115</v>
      </c>
      <c r="B116" s="13">
        <v>164</v>
      </c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5">
        <f>SUM(C116:AZ116)</f>
        <v>0</v>
      </c>
      <c r="BB116" s="13">
        <f>BA116*B116</f>
        <v>0</v>
      </c>
    </row>
    <row r="117" spans="1:54" ht="14.1" customHeight="1" x14ac:dyDescent="0.25">
      <c r="A117" s="12" t="s">
        <v>116</v>
      </c>
      <c r="B117" s="13">
        <v>179</v>
      </c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5">
        <f>SUM(C117:AZ117)</f>
        <v>0</v>
      </c>
      <c r="BB117" s="13">
        <f>BA117*B117</f>
        <v>0</v>
      </c>
    </row>
    <row r="118" spans="1:54" x14ac:dyDescent="0.25">
      <c r="A118" s="10" t="s">
        <v>117</v>
      </c>
      <c r="B118" s="11"/>
      <c r="C118" s="11"/>
      <c r="D118" s="11"/>
      <c r="E118" s="11"/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  <c r="AA118" s="11"/>
      <c r="AB118" s="11"/>
      <c r="AC118" s="11"/>
      <c r="AD118" s="11"/>
      <c r="AE118" s="11"/>
      <c r="AF118" s="11"/>
      <c r="AG118" s="11"/>
      <c r="AH118" s="11"/>
      <c r="AI118" s="11"/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</row>
    <row r="119" spans="1:54" ht="14.1" customHeight="1" x14ac:dyDescent="0.25">
      <c r="A119" s="12" t="s">
        <v>118</v>
      </c>
      <c r="B119" s="13">
        <v>164</v>
      </c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5">
        <f>SUM(C119:AZ119)</f>
        <v>0</v>
      </c>
      <c r="BB119" s="13">
        <f>BA119*B119</f>
        <v>0</v>
      </c>
    </row>
    <row r="120" spans="1:54" ht="14.1" customHeight="1" x14ac:dyDescent="0.25">
      <c r="A120" s="12" t="s">
        <v>119</v>
      </c>
      <c r="B120" s="13">
        <v>149</v>
      </c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5">
        <f>SUM(C120:AZ120)</f>
        <v>0</v>
      </c>
      <c r="BB120" s="13">
        <f>BA120*B120</f>
        <v>0</v>
      </c>
    </row>
    <row r="121" spans="1:54" ht="14.1" customHeight="1" x14ac:dyDescent="0.25">
      <c r="A121" s="12" t="s">
        <v>120</v>
      </c>
      <c r="B121" s="13">
        <v>149</v>
      </c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5">
        <f>SUM(C121:AZ121)</f>
        <v>0</v>
      </c>
      <c r="BB121" s="13">
        <f>BA121*B121</f>
        <v>0</v>
      </c>
    </row>
    <row r="122" spans="1:54" ht="14.1" customHeight="1" x14ac:dyDescent="0.25">
      <c r="A122" s="12" t="s">
        <v>121</v>
      </c>
      <c r="B122" s="13">
        <v>164</v>
      </c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5">
        <f>SUM(C122:AZ122)</f>
        <v>0</v>
      </c>
      <c r="BB122" s="13">
        <f>BA122*B122</f>
        <v>0</v>
      </c>
    </row>
    <row r="123" spans="1:54" ht="14.1" customHeight="1" x14ac:dyDescent="0.25">
      <c r="A123" s="12" t="s">
        <v>122</v>
      </c>
      <c r="B123" s="13">
        <v>164</v>
      </c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5">
        <f>SUM(C123:AZ123)</f>
        <v>0</v>
      </c>
      <c r="BB123" s="13">
        <f>BA123*B123</f>
        <v>0</v>
      </c>
    </row>
    <row r="124" spans="1:54" ht="14.1" customHeight="1" x14ac:dyDescent="0.25">
      <c r="A124" s="12" t="s">
        <v>123</v>
      </c>
      <c r="B124" s="13">
        <v>164</v>
      </c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5">
        <f>SUM(C124:AZ124)</f>
        <v>0</v>
      </c>
      <c r="BB124" s="13">
        <f>BA124*B124</f>
        <v>0</v>
      </c>
    </row>
    <row r="125" spans="1:54" ht="14.1" customHeight="1" x14ac:dyDescent="0.25">
      <c r="A125" s="12" t="s">
        <v>124</v>
      </c>
      <c r="B125" s="13">
        <v>149</v>
      </c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5">
        <f>SUM(C125:AZ125)</f>
        <v>0</v>
      </c>
      <c r="BB125" s="13">
        <f>BA125*B125</f>
        <v>0</v>
      </c>
    </row>
    <row r="126" spans="1:54" ht="14.1" customHeight="1" x14ac:dyDescent="0.25">
      <c r="A126" s="12" t="s">
        <v>125</v>
      </c>
      <c r="B126" s="13">
        <v>194</v>
      </c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5">
        <f>SUM(C126:AZ126)</f>
        <v>0</v>
      </c>
      <c r="BB126" s="13">
        <f>BA126*B126</f>
        <v>0</v>
      </c>
    </row>
    <row r="127" spans="1:54" ht="14.1" customHeight="1" x14ac:dyDescent="0.25">
      <c r="A127" s="12" t="s">
        <v>126</v>
      </c>
      <c r="B127" s="13">
        <v>164</v>
      </c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5">
        <f>SUM(C127:AZ127)</f>
        <v>0</v>
      </c>
      <c r="BB127" s="13">
        <f>BA127*B127</f>
        <v>0</v>
      </c>
    </row>
    <row r="128" spans="1:54" ht="14.1" customHeight="1" x14ac:dyDescent="0.25">
      <c r="A128" s="12" t="s">
        <v>127</v>
      </c>
      <c r="B128" s="13">
        <v>164</v>
      </c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5">
        <f>SUM(C128:AZ128)</f>
        <v>0</v>
      </c>
      <c r="BB128" s="13">
        <f>BA128*B128</f>
        <v>0</v>
      </c>
    </row>
    <row r="129" spans="1:54" ht="14.1" customHeight="1" x14ac:dyDescent="0.25">
      <c r="A129" s="12" t="s">
        <v>128</v>
      </c>
      <c r="B129" s="13">
        <v>283</v>
      </c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5">
        <f>SUM(C129:AZ129)</f>
        <v>0</v>
      </c>
      <c r="BB129" s="13">
        <f>BA129*B129</f>
        <v>0</v>
      </c>
    </row>
    <row r="130" spans="1:54" ht="14.1" customHeight="1" x14ac:dyDescent="0.25">
      <c r="A130" s="12" t="s">
        <v>129</v>
      </c>
      <c r="B130" s="13">
        <v>142</v>
      </c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5">
        <f>SUM(C130:AZ130)</f>
        <v>0</v>
      </c>
      <c r="BB130" s="13">
        <f>BA130*B130</f>
        <v>0</v>
      </c>
    </row>
    <row r="131" spans="1:54" ht="14.1" customHeight="1" x14ac:dyDescent="0.25">
      <c r="A131" s="12" t="s">
        <v>130</v>
      </c>
      <c r="B131" s="13">
        <v>194</v>
      </c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5">
        <f>SUM(C131:AZ131)</f>
        <v>0</v>
      </c>
      <c r="BB131" s="13">
        <f>BA131*B131</f>
        <v>0</v>
      </c>
    </row>
    <row r="132" spans="1:54" ht="14.1" customHeight="1" x14ac:dyDescent="0.25">
      <c r="A132" s="12" t="s">
        <v>132</v>
      </c>
      <c r="B132" s="13">
        <v>164</v>
      </c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5">
        <f>SUM(C132:AZ132)</f>
        <v>0</v>
      </c>
      <c r="BB132" s="13">
        <f>BA132*B132</f>
        <v>0</v>
      </c>
    </row>
    <row r="133" spans="1:54" ht="14.1" customHeight="1" x14ac:dyDescent="0.25">
      <c r="A133" s="12" t="s">
        <v>131</v>
      </c>
      <c r="B133" s="13">
        <v>164</v>
      </c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5">
        <f>SUM(C133:AZ133)</f>
        <v>0</v>
      </c>
      <c r="BB133" s="13">
        <f>BA133*B133</f>
        <v>0</v>
      </c>
    </row>
    <row r="134" spans="1:54" ht="14.1" customHeight="1" x14ac:dyDescent="0.25">
      <c r="A134" s="12" t="s">
        <v>135</v>
      </c>
      <c r="B134" s="13">
        <v>230</v>
      </c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5">
        <f>SUM(C134:AZ134)</f>
        <v>0</v>
      </c>
      <c r="BB134" s="13">
        <f>BA134*B134</f>
        <v>0</v>
      </c>
    </row>
    <row r="135" spans="1:54" ht="14.1" customHeight="1" x14ac:dyDescent="0.25">
      <c r="A135" s="12" t="s">
        <v>134</v>
      </c>
      <c r="B135" s="13">
        <v>207</v>
      </c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5">
        <f>SUM(C135:AZ135)</f>
        <v>0</v>
      </c>
      <c r="BB135" s="13">
        <f>BA135*B135</f>
        <v>0</v>
      </c>
    </row>
    <row r="136" spans="1:54" ht="14.1" customHeight="1" x14ac:dyDescent="0.25">
      <c r="A136" s="12" t="s">
        <v>133</v>
      </c>
      <c r="B136" s="13">
        <v>239</v>
      </c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5">
        <f>SUM(C136:AZ136)</f>
        <v>0</v>
      </c>
      <c r="BB136" s="13">
        <f>BA136*B136</f>
        <v>0</v>
      </c>
    </row>
    <row r="137" spans="1:54" x14ac:dyDescent="0.25">
      <c r="A137" s="10" t="s">
        <v>136</v>
      </c>
      <c r="B137" s="11"/>
      <c r="C137" s="11"/>
      <c r="D137" s="11"/>
      <c r="E137" s="11"/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</row>
    <row r="138" spans="1:54" ht="14.1" customHeight="1" x14ac:dyDescent="0.25">
      <c r="A138" s="12" t="s">
        <v>137</v>
      </c>
      <c r="B138" s="13">
        <v>72</v>
      </c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5">
        <f>SUM(C138:AZ138)</f>
        <v>0</v>
      </c>
      <c r="BB138" s="13">
        <f>BA138*B138</f>
        <v>0</v>
      </c>
    </row>
    <row r="139" spans="1:54" ht="14.1" customHeight="1" x14ac:dyDescent="0.25">
      <c r="A139" s="12" t="s">
        <v>138</v>
      </c>
      <c r="B139" s="13">
        <v>63</v>
      </c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5">
        <f>SUM(C139:AZ139)</f>
        <v>0</v>
      </c>
      <c r="BB139" s="13">
        <f>BA139*B139</f>
        <v>0</v>
      </c>
    </row>
    <row r="140" spans="1:54" ht="14.1" customHeight="1" x14ac:dyDescent="0.25">
      <c r="A140" s="12" t="s">
        <v>139</v>
      </c>
      <c r="B140" s="13">
        <v>86</v>
      </c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5">
        <f>SUM(C140:AZ140)</f>
        <v>0</v>
      </c>
      <c r="BB140" s="13">
        <f>BA140*B140</f>
        <v>0</v>
      </c>
    </row>
    <row r="141" spans="1:54" ht="14.1" customHeight="1" x14ac:dyDescent="0.25">
      <c r="A141" s="12" t="s">
        <v>140</v>
      </c>
      <c r="B141" s="13">
        <v>72</v>
      </c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5">
        <f>SUM(C141:AZ141)</f>
        <v>0</v>
      </c>
      <c r="BB141" s="13">
        <f>BA141*B141</f>
        <v>0</v>
      </c>
    </row>
    <row r="142" spans="1:54" ht="14.1" customHeight="1" x14ac:dyDescent="0.25">
      <c r="A142" s="12" t="s">
        <v>141</v>
      </c>
      <c r="B142" s="13">
        <v>72</v>
      </c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5">
        <f>SUM(C142:AZ142)</f>
        <v>0</v>
      </c>
      <c r="BB142" s="13">
        <f>BA142*B142</f>
        <v>0</v>
      </c>
    </row>
    <row r="143" spans="1:54" ht="14.1" customHeight="1" x14ac:dyDescent="0.25">
      <c r="A143" s="12" t="s">
        <v>145</v>
      </c>
      <c r="B143" s="13">
        <v>103</v>
      </c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5">
        <f>SUM(C143:AZ143)</f>
        <v>0</v>
      </c>
      <c r="BB143" s="13">
        <f>BA143*B143</f>
        <v>0</v>
      </c>
    </row>
    <row r="144" spans="1:54" ht="14.1" customHeight="1" x14ac:dyDescent="0.25">
      <c r="A144" s="12" t="s">
        <v>142</v>
      </c>
      <c r="B144" s="13">
        <v>76</v>
      </c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5">
        <f>SUM(C144:AZ144)</f>
        <v>0</v>
      </c>
      <c r="BB144" s="13">
        <f>BA144*B144</f>
        <v>0</v>
      </c>
    </row>
    <row r="145" spans="1:54" ht="14.1" customHeight="1" x14ac:dyDescent="0.25">
      <c r="A145" s="12" t="s">
        <v>143</v>
      </c>
      <c r="B145" s="13">
        <v>72</v>
      </c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5">
        <f>SUM(C145:AZ145)</f>
        <v>0</v>
      </c>
      <c r="BB145" s="13">
        <f>BA145*B145</f>
        <v>0</v>
      </c>
    </row>
    <row r="146" spans="1:54" ht="14.1" customHeight="1" x14ac:dyDescent="0.25">
      <c r="A146" s="12" t="s">
        <v>144</v>
      </c>
      <c r="B146" s="13">
        <v>72</v>
      </c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5">
        <f>SUM(C146:AZ146)</f>
        <v>0</v>
      </c>
      <c r="BB146" s="13">
        <f>BA146*B146</f>
        <v>0</v>
      </c>
    </row>
    <row r="147" spans="1:54" ht="14.1" customHeight="1" x14ac:dyDescent="0.25">
      <c r="A147" s="12" t="s">
        <v>146</v>
      </c>
      <c r="B147" s="13">
        <v>86</v>
      </c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5">
        <f>SUM(C147:AZ147)</f>
        <v>0</v>
      </c>
      <c r="BB147" s="13">
        <f>BA147*B147</f>
        <v>0</v>
      </c>
    </row>
    <row r="148" spans="1:54" ht="14.1" customHeight="1" x14ac:dyDescent="0.25">
      <c r="A148" s="12" t="s">
        <v>147</v>
      </c>
      <c r="B148" s="13">
        <v>137</v>
      </c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5">
        <f>SUM(C148:AZ148)</f>
        <v>0</v>
      </c>
      <c r="BB148" s="13">
        <f>BA148*B148</f>
        <v>0</v>
      </c>
    </row>
    <row r="149" spans="1:54" ht="14.1" customHeight="1" x14ac:dyDescent="0.25">
      <c r="A149" s="12" t="s">
        <v>148</v>
      </c>
      <c r="B149" s="13">
        <v>151</v>
      </c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5">
        <f>SUM(C149:AZ149)</f>
        <v>0</v>
      </c>
      <c r="BB149" s="13">
        <f>BA149*B149</f>
        <v>0</v>
      </c>
    </row>
    <row r="150" spans="1:54" ht="14.1" customHeight="1" x14ac:dyDescent="0.25">
      <c r="A150" s="12" t="s">
        <v>149</v>
      </c>
      <c r="B150" s="13">
        <v>157</v>
      </c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5">
        <f>SUM(C150:AZ150)</f>
        <v>0</v>
      </c>
      <c r="BB150" s="13">
        <f>BA150*B150</f>
        <v>0</v>
      </c>
    </row>
    <row r="151" spans="1:54" ht="14.1" customHeight="1" x14ac:dyDescent="0.25">
      <c r="A151" s="12" t="s">
        <v>150</v>
      </c>
      <c r="B151" s="13">
        <v>137</v>
      </c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5">
        <f>SUM(C151:AZ151)</f>
        <v>0</v>
      </c>
      <c r="BB151" s="13">
        <f>BA151*B151</f>
        <v>0</v>
      </c>
    </row>
    <row r="152" spans="1:54" ht="14.1" customHeight="1" x14ac:dyDescent="0.25">
      <c r="A152" s="12" t="s">
        <v>151</v>
      </c>
      <c r="B152" s="13">
        <v>69</v>
      </c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5">
        <f>SUM(C152:AZ152)</f>
        <v>0</v>
      </c>
      <c r="BB152" s="13">
        <f>BA152*B152</f>
        <v>0</v>
      </c>
    </row>
    <row r="153" spans="1:54" ht="14.1" customHeight="1" x14ac:dyDescent="0.25">
      <c r="A153" s="12" t="s">
        <v>152</v>
      </c>
      <c r="B153" s="13">
        <v>75</v>
      </c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5">
        <f>SUM(C153:AZ153)</f>
        <v>0</v>
      </c>
      <c r="BB153" s="13">
        <f>BA153*B153</f>
        <v>0</v>
      </c>
    </row>
    <row r="154" spans="1:54" ht="14.1" customHeight="1" x14ac:dyDescent="0.25">
      <c r="A154" s="12" t="s">
        <v>153</v>
      </c>
      <c r="B154" s="13">
        <v>69</v>
      </c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5">
        <f>SUM(C154:AZ154)</f>
        <v>0</v>
      </c>
      <c r="BB154" s="13">
        <f>BA154*B154</f>
        <v>0</v>
      </c>
    </row>
    <row r="155" spans="1:54" ht="14.1" customHeight="1" x14ac:dyDescent="0.25">
      <c r="A155" s="12" t="s">
        <v>154</v>
      </c>
      <c r="B155" s="13">
        <v>75</v>
      </c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5">
        <f>SUM(C155:AZ155)</f>
        <v>0</v>
      </c>
      <c r="BB155" s="13">
        <f>BA155*B155</f>
        <v>0</v>
      </c>
    </row>
    <row r="156" spans="1:54" ht="14.1" customHeight="1" x14ac:dyDescent="0.25">
      <c r="A156" s="12" t="s">
        <v>159</v>
      </c>
      <c r="B156" s="13">
        <v>151</v>
      </c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5">
        <f>SUM(C156:AZ156)</f>
        <v>0</v>
      </c>
      <c r="BB156" s="13">
        <f>BA156*B156</f>
        <v>0</v>
      </c>
    </row>
    <row r="157" spans="1:54" ht="14.1" customHeight="1" x14ac:dyDescent="0.25">
      <c r="A157" s="12" t="s">
        <v>156</v>
      </c>
      <c r="B157" s="13">
        <v>99</v>
      </c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5">
        <f>SUM(C157:AZ157)</f>
        <v>0</v>
      </c>
      <c r="BB157" s="13">
        <f>BA157*B157</f>
        <v>0</v>
      </c>
    </row>
    <row r="158" spans="1:54" ht="14.1" customHeight="1" x14ac:dyDescent="0.25">
      <c r="A158" s="12" t="s">
        <v>157</v>
      </c>
      <c r="B158" s="13">
        <v>144</v>
      </c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5">
        <f>SUM(C158:AZ158)</f>
        <v>0</v>
      </c>
      <c r="BB158" s="13">
        <f>BA158*B158</f>
        <v>0</v>
      </c>
    </row>
    <row r="159" spans="1:54" ht="14.1" customHeight="1" x14ac:dyDescent="0.25">
      <c r="A159" s="12" t="s">
        <v>158</v>
      </c>
      <c r="B159" s="13">
        <v>152</v>
      </c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5">
        <f>SUM(C159:AZ159)</f>
        <v>0</v>
      </c>
      <c r="BB159" s="13">
        <f>BA159*B159</f>
        <v>0</v>
      </c>
    </row>
    <row r="160" spans="1:54" ht="14.1" customHeight="1" x14ac:dyDescent="0.25">
      <c r="A160" s="12" t="s">
        <v>155</v>
      </c>
      <c r="B160" s="13">
        <v>137</v>
      </c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5">
        <f>SUM(C160:AZ160)</f>
        <v>0</v>
      </c>
      <c r="BB160" s="13">
        <f>BA160*B160</f>
        <v>0</v>
      </c>
    </row>
    <row r="161" spans="1:54" x14ac:dyDescent="0.25">
      <c r="A161" s="10" t="s">
        <v>160</v>
      </c>
      <c r="B161" s="11"/>
      <c r="C161" s="11"/>
      <c r="D161" s="11"/>
      <c r="E161" s="11"/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</row>
    <row r="162" spans="1:54" ht="14.1" customHeight="1" x14ac:dyDescent="0.25">
      <c r="A162" s="12" t="s">
        <v>162</v>
      </c>
      <c r="B162" s="13">
        <v>46</v>
      </c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5">
        <f>SUM(C162:AZ162)</f>
        <v>0</v>
      </c>
      <c r="BB162" s="13">
        <f>BA162*B162</f>
        <v>0</v>
      </c>
    </row>
    <row r="163" spans="1:54" ht="14.1" customHeight="1" x14ac:dyDescent="0.25">
      <c r="A163" s="12" t="s">
        <v>161</v>
      </c>
      <c r="B163" s="13">
        <v>46</v>
      </c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5">
        <f>SUM(C163:AZ163)</f>
        <v>0</v>
      </c>
      <c r="BB163" s="13">
        <f>BA163*B163</f>
        <v>0</v>
      </c>
    </row>
    <row r="164" spans="1:54" ht="14.1" customHeight="1" x14ac:dyDescent="0.25">
      <c r="A164" s="12" t="s">
        <v>163</v>
      </c>
      <c r="B164" s="13">
        <v>57</v>
      </c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5">
        <f>SUM(C164:AZ164)</f>
        <v>0</v>
      </c>
      <c r="BB164" s="13">
        <f>BA164*B164</f>
        <v>0</v>
      </c>
    </row>
    <row r="165" spans="1:54" ht="14.1" customHeight="1" x14ac:dyDescent="0.25">
      <c r="A165" s="12" t="s">
        <v>164</v>
      </c>
      <c r="B165" s="13">
        <v>57</v>
      </c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5">
        <f>SUM(C165:AZ165)</f>
        <v>0</v>
      </c>
      <c r="BB165" s="13">
        <f>BA165*B165</f>
        <v>0</v>
      </c>
    </row>
    <row r="166" spans="1:54" ht="14.1" customHeight="1" x14ac:dyDescent="0.25">
      <c r="A166" s="12" t="s">
        <v>165</v>
      </c>
      <c r="B166" s="13">
        <v>57</v>
      </c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5">
        <f>SUM(C166:AZ166)</f>
        <v>0</v>
      </c>
      <c r="BB166" s="13">
        <f>BA166*B166</f>
        <v>0</v>
      </c>
    </row>
    <row r="167" spans="1:54" ht="14.1" customHeight="1" x14ac:dyDescent="0.25">
      <c r="A167" s="12" t="s">
        <v>166</v>
      </c>
      <c r="B167" s="13">
        <v>97</v>
      </c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5">
        <f>SUM(C167:AZ167)</f>
        <v>0</v>
      </c>
      <c r="BB167" s="13">
        <f>BA167*B167</f>
        <v>0</v>
      </c>
    </row>
    <row r="168" spans="1:54" ht="14.1" customHeight="1" x14ac:dyDescent="0.25">
      <c r="A168" s="12" t="s">
        <v>167</v>
      </c>
      <c r="B168" s="13">
        <v>77</v>
      </c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5">
        <f>SUM(C168:AZ168)</f>
        <v>0</v>
      </c>
      <c r="BB168" s="13">
        <f>BA168*B168</f>
        <v>0</v>
      </c>
    </row>
    <row r="169" spans="1:54" ht="14.1" customHeight="1" x14ac:dyDescent="0.25">
      <c r="A169" s="12" t="s">
        <v>169</v>
      </c>
      <c r="B169" s="13">
        <v>39</v>
      </c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5">
        <f>SUM(C169:AZ169)</f>
        <v>0</v>
      </c>
      <c r="BB169" s="13">
        <f>BA169*B169</f>
        <v>0</v>
      </c>
    </row>
    <row r="170" spans="1:54" ht="14.1" customHeight="1" x14ac:dyDescent="0.25">
      <c r="A170" s="12" t="s">
        <v>170</v>
      </c>
      <c r="B170" s="13">
        <v>39</v>
      </c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5">
        <f>SUM(C170:AZ170)</f>
        <v>0</v>
      </c>
      <c r="BB170" s="13">
        <f>BA170*B170</f>
        <v>0</v>
      </c>
    </row>
    <row r="171" spans="1:54" ht="14.1" customHeight="1" x14ac:dyDescent="0.25">
      <c r="A171" s="12" t="s">
        <v>171</v>
      </c>
      <c r="B171" s="13">
        <v>39</v>
      </c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5">
        <f>SUM(C171:AZ171)</f>
        <v>0</v>
      </c>
      <c r="BB171" s="13">
        <f>BA171*B171</f>
        <v>0</v>
      </c>
    </row>
    <row r="172" spans="1:54" ht="14.1" customHeight="1" x14ac:dyDescent="0.25">
      <c r="A172" s="12" t="s">
        <v>172</v>
      </c>
      <c r="B172" s="13">
        <v>39</v>
      </c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5">
        <f>SUM(C172:AZ172)</f>
        <v>0</v>
      </c>
      <c r="BB172" s="13">
        <f>BA172*B172</f>
        <v>0</v>
      </c>
    </row>
    <row r="173" spans="1:54" ht="14.1" customHeight="1" x14ac:dyDescent="0.25">
      <c r="A173" s="12" t="s">
        <v>175</v>
      </c>
      <c r="B173" s="13">
        <v>76</v>
      </c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5">
        <f>SUM(C173:AZ173)</f>
        <v>0</v>
      </c>
      <c r="BB173" s="13">
        <f>BA173*B173</f>
        <v>0</v>
      </c>
    </row>
    <row r="174" spans="1:54" ht="14.1" customHeight="1" x14ac:dyDescent="0.25">
      <c r="A174" s="12" t="s">
        <v>174</v>
      </c>
      <c r="B174" s="13">
        <v>76</v>
      </c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5">
        <f>SUM(C174:AZ174)</f>
        <v>0</v>
      </c>
      <c r="BB174" s="13">
        <f>BA174*B174</f>
        <v>0</v>
      </c>
    </row>
    <row r="175" spans="1:54" ht="14.1" customHeight="1" x14ac:dyDescent="0.25">
      <c r="A175" s="12" t="s">
        <v>173</v>
      </c>
      <c r="B175" s="13">
        <v>76</v>
      </c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5">
        <f>SUM(C175:AZ175)</f>
        <v>0</v>
      </c>
      <c r="BB175" s="13">
        <f>BA175*B175</f>
        <v>0</v>
      </c>
    </row>
    <row r="176" spans="1:54" ht="14.1" customHeight="1" x14ac:dyDescent="0.25">
      <c r="A176" s="12" t="s">
        <v>178</v>
      </c>
      <c r="B176" s="13">
        <v>7</v>
      </c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5">
        <f>SUM(C176:AZ176)</f>
        <v>0</v>
      </c>
      <c r="BB176" s="13">
        <f>BA176*B176</f>
        <v>0</v>
      </c>
    </row>
    <row r="177" spans="1:54" ht="14.1" customHeight="1" x14ac:dyDescent="0.25">
      <c r="A177" s="12" t="s">
        <v>179</v>
      </c>
      <c r="B177" s="13">
        <v>7</v>
      </c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5">
        <f>SUM(C177:AZ177)</f>
        <v>0</v>
      </c>
      <c r="BB177" s="13">
        <f>BA177*B177</f>
        <v>0</v>
      </c>
    </row>
    <row r="178" spans="1:54" ht="14.1" customHeight="1" x14ac:dyDescent="0.25">
      <c r="A178" s="12" t="s">
        <v>176</v>
      </c>
      <c r="B178" s="13">
        <v>4</v>
      </c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5">
        <f>SUM(C178:AZ178)</f>
        <v>0</v>
      </c>
      <c r="BB178" s="13">
        <f>BA178*B178</f>
        <v>0</v>
      </c>
    </row>
    <row r="179" spans="1:54" ht="14.1" customHeight="1" x14ac:dyDescent="0.25">
      <c r="A179" s="12" t="s">
        <v>177</v>
      </c>
      <c r="B179" s="13">
        <v>4</v>
      </c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5">
        <f>SUM(C179:AZ179)</f>
        <v>0</v>
      </c>
      <c r="BB179" s="13">
        <f>BA179*B179</f>
        <v>0</v>
      </c>
    </row>
    <row r="180" spans="1:54" ht="14.1" customHeight="1" thickBot="1" x14ac:dyDescent="0.3">
      <c r="A180" s="16" t="s">
        <v>180</v>
      </c>
      <c r="B180" s="18"/>
      <c r="C180" s="11"/>
      <c r="D180" s="11"/>
      <c r="E180" s="11"/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</row>
    <row r="181" spans="1:54" ht="14.1" customHeight="1" x14ac:dyDescent="0.25">
      <c r="A181" s="17" t="s">
        <v>181</v>
      </c>
      <c r="B181" s="19">
        <v>296</v>
      </c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20">
        <f>SUM(C181:AZ181)</f>
        <v>0</v>
      </c>
      <c r="BB181" s="21">
        <f>BA181*B181</f>
        <v>0</v>
      </c>
    </row>
    <row r="182" spans="1:54" ht="14.1" customHeight="1" x14ac:dyDescent="0.25">
      <c r="A182" s="22" t="s">
        <v>124</v>
      </c>
      <c r="B182" s="23"/>
      <c r="C182" s="26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</row>
    <row r="183" spans="1:54" ht="14.1" customHeight="1" x14ac:dyDescent="0.25">
      <c r="A183" s="24" t="s">
        <v>208</v>
      </c>
      <c r="B183" s="25"/>
      <c r="C183" s="27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</row>
    <row r="184" spans="1:54" ht="14.1" customHeight="1" thickBot="1" x14ac:dyDescent="0.3">
      <c r="A184" s="28" t="s">
        <v>36</v>
      </c>
      <c r="B184" s="29"/>
      <c r="C184" s="27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</row>
    <row r="185" spans="1:54" ht="14.1" customHeight="1" x14ac:dyDescent="0.25">
      <c r="A185" s="17" t="s">
        <v>183</v>
      </c>
      <c r="B185" s="19">
        <v>395</v>
      </c>
      <c r="C185" s="14"/>
      <c r="D185" s="14"/>
      <c r="E185" s="14"/>
      <c r="F185" s="14"/>
      <c r="G185" s="14"/>
      <c r="H185" s="14"/>
      <c r="I185" s="14"/>
      <c r="J185" s="14"/>
      <c r="K185" s="14"/>
      <c r="L185" s="14"/>
      <c r="M185" s="14"/>
      <c r="N185" s="14"/>
      <c r="O185" s="14"/>
      <c r="P185" s="14"/>
      <c r="Q185" s="14"/>
      <c r="R185" s="14"/>
      <c r="S185" s="14"/>
      <c r="T185" s="14"/>
      <c r="U185" s="14"/>
      <c r="V185" s="14"/>
      <c r="W185" s="14"/>
      <c r="X185" s="14"/>
      <c r="Y185" s="14"/>
      <c r="Z185" s="14"/>
      <c r="AA185" s="14"/>
      <c r="AB185" s="14"/>
      <c r="AC185" s="14"/>
      <c r="AD185" s="14"/>
      <c r="AE185" s="14"/>
      <c r="AF185" s="14"/>
      <c r="AG185" s="14"/>
      <c r="AH185" s="14"/>
      <c r="AI185" s="14"/>
      <c r="AJ185" s="14"/>
      <c r="AK185" s="14"/>
      <c r="AL185" s="14"/>
      <c r="AM185" s="14"/>
      <c r="AN185" s="14"/>
      <c r="AO185" s="14"/>
      <c r="AP185" s="14"/>
      <c r="AQ185" s="14"/>
      <c r="AR185" s="14"/>
      <c r="AS185" s="14"/>
      <c r="AT185" s="14"/>
      <c r="AU185" s="14"/>
      <c r="AV185" s="14"/>
      <c r="AW185" s="14"/>
      <c r="AX185" s="14"/>
      <c r="AY185" s="14"/>
      <c r="AZ185" s="14"/>
      <c r="BA185" s="20">
        <f>SUM(C185:AZ185)</f>
        <v>0</v>
      </c>
      <c r="BB185" s="21">
        <f>BA185*B185</f>
        <v>0</v>
      </c>
    </row>
    <row r="186" spans="1:54" ht="14.1" customHeight="1" x14ac:dyDescent="0.25">
      <c r="A186" s="22" t="s">
        <v>202</v>
      </c>
      <c r="B186" s="23"/>
      <c r="C186" s="26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</row>
    <row r="187" spans="1:54" ht="14.1" customHeight="1" x14ac:dyDescent="0.25">
      <c r="A187" s="24" t="s">
        <v>204</v>
      </c>
      <c r="B187" s="25"/>
      <c r="C187" s="27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</row>
    <row r="188" spans="1:54" ht="14.1" customHeight="1" thickBot="1" x14ac:dyDescent="0.3">
      <c r="A188" s="28" t="s">
        <v>199</v>
      </c>
      <c r="B188" s="29"/>
      <c r="C188" s="27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</row>
    <row r="189" spans="1:54" ht="14.1" customHeight="1" x14ac:dyDescent="0.25">
      <c r="A189" s="17" t="s">
        <v>186</v>
      </c>
      <c r="B189" s="19">
        <v>461</v>
      </c>
      <c r="C189" s="14"/>
      <c r="D189" s="14"/>
      <c r="E189" s="14"/>
      <c r="F189" s="14"/>
      <c r="G189" s="14"/>
      <c r="H189" s="14"/>
      <c r="I189" s="14"/>
      <c r="J189" s="14"/>
      <c r="K189" s="14"/>
      <c r="L189" s="14"/>
      <c r="M189" s="14"/>
      <c r="N189" s="14"/>
      <c r="O189" s="14"/>
      <c r="P189" s="14"/>
      <c r="Q189" s="14"/>
      <c r="R189" s="14"/>
      <c r="S189" s="14"/>
      <c r="T189" s="14"/>
      <c r="U189" s="14"/>
      <c r="V189" s="14"/>
      <c r="W189" s="14"/>
      <c r="X189" s="14"/>
      <c r="Y189" s="14"/>
      <c r="Z189" s="14"/>
      <c r="AA189" s="14"/>
      <c r="AB189" s="14"/>
      <c r="AC189" s="14"/>
      <c r="AD189" s="14"/>
      <c r="AE189" s="14"/>
      <c r="AF189" s="14"/>
      <c r="AG189" s="14"/>
      <c r="AH189" s="14"/>
      <c r="AI189" s="14"/>
      <c r="AJ189" s="14"/>
      <c r="AK189" s="14"/>
      <c r="AL189" s="14"/>
      <c r="AM189" s="14"/>
      <c r="AN189" s="14"/>
      <c r="AO189" s="14"/>
      <c r="AP189" s="14"/>
      <c r="AQ189" s="14"/>
      <c r="AR189" s="14"/>
      <c r="AS189" s="14"/>
      <c r="AT189" s="14"/>
      <c r="AU189" s="14"/>
      <c r="AV189" s="14"/>
      <c r="AW189" s="14"/>
      <c r="AX189" s="14"/>
      <c r="AY189" s="14"/>
      <c r="AZ189" s="14"/>
      <c r="BA189" s="20">
        <f>SUM(C189:AZ189)</f>
        <v>0</v>
      </c>
      <c r="BB189" s="21">
        <f>BA189*B189</f>
        <v>0</v>
      </c>
    </row>
    <row r="190" spans="1:54" ht="14.1" customHeight="1" x14ac:dyDescent="0.25">
      <c r="A190" s="22" t="s">
        <v>202</v>
      </c>
      <c r="B190" s="23"/>
      <c r="C190" s="26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</row>
    <row r="191" spans="1:54" ht="14.1" customHeight="1" x14ac:dyDescent="0.25">
      <c r="A191" s="24" t="s">
        <v>204</v>
      </c>
      <c r="B191" s="25"/>
      <c r="C191" s="27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</row>
    <row r="192" spans="1:54" ht="14.1" customHeight="1" x14ac:dyDescent="0.25">
      <c r="A192" s="24" t="s">
        <v>199</v>
      </c>
      <c r="B192" s="25"/>
      <c r="C192" s="27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</row>
    <row r="193" spans="1:54" ht="14.1" customHeight="1" thickBot="1" x14ac:dyDescent="0.3">
      <c r="A193" s="28" t="s">
        <v>209</v>
      </c>
      <c r="B193" s="29"/>
      <c r="C193" s="27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</row>
    <row r="194" spans="1:54" ht="14.1" customHeight="1" x14ac:dyDescent="0.25">
      <c r="A194" s="17" t="s">
        <v>188</v>
      </c>
      <c r="B194" s="19">
        <v>432</v>
      </c>
      <c r="C194" s="14"/>
      <c r="D194" s="14"/>
      <c r="E194" s="14"/>
      <c r="F194" s="14"/>
      <c r="G194" s="14"/>
      <c r="H194" s="14"/>
      <c r="I194" s="14"/>
      <c r="J194" s="14"/>
      <c r="K194" s="14"/>
      <c r="L194" s="14"/>
      <c r="M194" s="14"/>
      <c r="N194" s="14"/>
      <c r="O194" s="14"/>
      <c r="P194" s="14"/>
      <c r="Q194" s="14"/>
      <c r="R194" s="14"/>
      <c r="S194" s="14"/>
      <c r="T194" s="14"/>
      <c r="U194" s="14"/>
      <c r="V194" s="14"/>
      <c r="W194" s="14"/>
      <c r="X194" s="14"/>
      <c r="Y194" s="14"/>
      <c r="Z194" s="14"/>
      <c r="AA194" s="14"/>
      <c r="AB194" s="14"/>
      <c r="AC194" s="14"/>
      <c r="AD194" s="14"/>
      <c r="AE194" s="14"/>
      <c r="AF194" s="14"/>
      <c r="AG194" s="14"/>
      <c r="AH194" s="14"/>
      <c r="AI194" s="14"/>
      <c r="AJ194" s="14"/>
      <c r="AK194" s="14"/>
      <c r="AL194" s="14"/>
      <c r="AM194" s="14"/>
      <c r="AN194" s="14"/>
      <c r="AO194" s="14"/>
      <c r="AP194" s="14"/>
      <c r="AQ194" s="14"/>
      <c r="AR194" s="14"/>
      <c r="AS194" s="14"/>
      <c r="AT194" s="14"/>
      <c r="AU194" s="14"/>
      <c r="AV194" s="14"/>
      <c r="AW194" s="14"/>
      <c r="AX194" s="14"/>
      <c r="AY194" s="14"/>
      <c r="AZ194" s="14"/>
      <c r="BA194" s="20">
        <f>SUM(C194:AZ194)</f>
        <v>0</v>
      </c>
      <c r="BB194" s="21">
        <f>BA194*B194</f>
        <v>0</v>
      </c>
    </row>
    <row r="195" spans="1:54" ht="14.1" customHeight="1" x14ac:dyDescent="0.25">
      <c r="A195" s="22" t="s">
        <v>203</v>
      </c>
      <c r="B195" s="23"/>
      <c r="C195" s="26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</row>
    <row r="196" spans="1:54" ht="14.1" customHeight="1" x14ac:dyDescent="0.25">
      <c r="A196" s="24" t="s">
        <v>68</v>
      </c>
      <c r="B196" s="25"/>
      <c r="C196" s="27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</row>
    <row r="197" spans="1:54" ht="14.1" customHeight="1" thickBot="1" x14ac:dyDescent="0.3">
      <c r="A197" s="28" t="s">
        <v>201</v>
      </c>
      <c r="B197" s="29"/>
      <c r="C197" s="27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</row>
    <row r="198" spans="1:54" ht="14.1" customHeight="1" x14ac:dyDescent="0.25">
      <c r="A198" s="17" t="s">
        <v>189</v>
      </c>
      <c r="B198" s="19">
        <v>496</v>
      </c>
      <c r="C198" s="14"/>
      <c r="D198" s="14"/>
      <c r="E198" s="14"/>
      <c r="F198" s="14"/>
      <c r="G198" s="14"/>
      <c r="H198" s="14"/>
      <c r="I198" s="14"/>
      <c r="J198" s="14"/>
      <c r="K198" s="14"/>
      <c r="L198" s="14"/>
      <c r="M198" s="14"/>
      <c r="N198" s="14"/>
      <c r="O198" s="14"/>
      <c r="P198" s="14"/>
      <c r="Q198" s="14"/>
      <c r="R198" s="14"/>
      <c r="S198" s="14"/>
      <c r="T198" s="14"/>
      <c r="U198" s="14"/>
      <c r="V198" s="14"/>
      <c r="W198" s="14"/>
      <c r="X198" s="14"/>
      <c r="Y198" s="14"/>
      <c r="Z198" s="14"/>
      <c r="AA198" s="14"/>
      <c r="AB198" s="14"/>
      <c r="AC198" s="14"/>
      <c r="AD198" s="14"/>
      <c r="AE198" s="14"/>
      <c r="AF198" s="14"/>
      <c r="AG198" s="14"/>
      <c r="AH198" s="14"/>
      <c r="AI198" s="14"/>
      <c r="AJ198" s="14"/>
      <c r="AK198" s="14"/>
      <c r="AL198" s="14"/>
      <c r="AM198" s="14"/>
      <c r="AN198" s="14"/>
      <c r="AO198" s="14"/>
      <c r="AP198" s="14"/>
      <c r="AQ198" s="14"/>
      <c r="AR198" s="14"/>
      <c r="AS198" s="14"/>
      <c r="AT198" s="14"/>
      <c r="AU198" s="14"/>
      <c r="AV198" s="14"/>
      <c r="AW198" s="14"/>
      <c r="AX198" s="14"/>
      <c r="AY198" s="14"/>
      <c r="AZ198" s="14"/>
      <c r="BA198" s="20">
        <f>SUM(C198:AZ198)</f>
        <v>0</v>
      </c>
      <c r="BB198" s="21">
        <f>BA198*B198</f>
        <v>0</v>
      </c>
    </row>
    <row r="199" spans="1:54" ht="14.1" customHeight="1" x14ac:dyDescent="0.25">
      <c r="A199" s="22" t="s">
        <v>203</v>
      </c>
      <c r="B199" s="23"/>
      <c r="C199" s="26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</row>
    <row r="200" spans="1:54" ht="14.1" customHeight="1" x14ac:dyDescent="0.25">
      <c r="A200" s="24" t="s">
        <v>68</v>
      </c>
      <c r="B200" s="25"/>
      <c r="C200" s="27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</row>
    <row r="201" spans="1:54" ht="14.1" customHeight="1" x14ac:dyDescent="0.25">
      <c r="A201" s="24" t="s">
        <v>201</v>
      </c>
      <c r="B201" s="25"/>
      <c r="C201" s="27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</row>
    <row r="202" spans="1:54" ht="14.1" customHeight="1" thickBot="1" x14ac:dyDescent="0.3">
      <c r="A202" s="28" t="s">
        <v>210</v>
      </c>
      <c r="B202" s="29"/>
      <c r="C202" s="27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</row>
    <row r="203" spans="1:54" ht="14.1" customHeight="1" x14ac:dyDescent="0.25">
      <c r="A203" s="17" t="s">
        <v>190</v>
      </c>
      <c r="B203" s="19">
        <v>310</v>
      </c>
      <c r="C203" s="14"/>
      <c r="D203" s="14"/>
      <c r="E203" s="14"/>
      <c r="F203" s="14"/>
      <c r="G203" s="14"/>
      <c r="H203" s="14"/>
      <c r="I203" s="14"/>
      <c r="J203" s="14"/>
      <c r="K203" s="14"/>
      <c r="L203" s="14"/>
      <c r="M203" s="14"/>
      <c r="N203" s="14"/>
      <c r="O203" s="14"/>
      <c r="P203" s="14"/>
      <c r="Q203" s="14"/>
      <c r="R203" s="14"/>
      <c r="S203" s="14"/>
      <c r="T203" s="14"/>
      <c r="U203" s="14"/>
      <c r="V203" s="14"/>
      <c r="W203" s="14"/>
      <c r="X203" s="14"/>
      <c r="Y203" s="14"/>
      <c r="Z203" s="14"/>
      <c r="AA203" s="14"/>
      <c r="AB203" s="14"/>
      <c r="AC203" s="14"/>
      <c r="AD203" s="14"/>
      <c r="AE203" s="14"/>
      <c r="AF203" s="14"/>
      <c r="AG203" s="14"/>
      <c r="AH203" s="14"/>
      <c r="AI203" s="14"/>
      <c r="AJ203" s="14"/>
      <c r="AK203" s="14"/>
      <c r="AL203" s="14"/>
      <c r="AM203" s="14"/>
      <c r="AN203" s="14"/>
      <c r="AO203" s="14"/>
      <c r="AP203" s="14"/>
      <c r="AQ203" s="14"/>
      <c r="AR203" s="14"/>
      <c r="AS203" s="14"/>
      <c r="AT203" s="14"/>
      <c r="AU203" s="14"/>
      <c r="AV203" s="14"/>
      <c r="AW203" s="14"/>
      <c r="AX203" s="14"/>
      <c r="AY203" s="14"/>
      <c r="AZ203" s="14"/>
      <c r="BA203" s="20">
        <f>SUM(C203:AZ203)</f>
        <v>0</v>
      </c>
      <c r="BB203" s="21">
        <f>BA203*B203</f>
        <v>0</v>
      </c>
    </row>
    <row r="204" spans="1:54" ht="14.1" customHeight="1" x14ac:dyDescent="0.25">
      <c r="A204" s="22" t="s">
        <v>52</v>
      </c>
      <c r="B204" s="23"/>
      <c r="C204" s="26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</row>
    <row r="205" spans="1:54" ht="14.1" customHeight="1" thickBot="1" x14ac:dyDescent="0.3">
      <c r="A205" s="28" t="s">
        <v>200</v>
      </c>
      <c r="B205" s="29"/>
      <c r="C205" s="27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</row>
    <row r="206" spans="1:54" ht="14.1" customHeight="1" x14ac:dyDescent="0.25">
      <c r="A206" s="17" t="s">
        <v>191</v>
      </c>
      <c r="B206" s="19">
        <v>361</v>
      </c>
      <c r="C206" s="14"/>
      <c r="D206" s="14"/>
      <c r="E206" s="14"/>
      <c r="F206" s="14"/>
      <c r="G206" s="14"/>
      <c r="H206" s="14"/>
      <c r="I206" s="14"/>
      <c r="J206" s="14"/>
      <c r="K206" s="14"/>
      <c r="L206" s="14"/>
      <c r="M206" s="14"/>
      <c r="N206" s="14"/>
      <c r="O206" s="14"/>
      <c r="P206" s="14"/>
      <c r="Q206" s="14"/>
      <c r="R206" s="14"/>
      <c r="S206" s="14"/>
      <c r="T206" s="14"/>
      <c r="U206" s="14"/>
      <c r="V206" s="14"/>
      <c r="W206" s="14"/>
      <c r="X206" s="14"/>
      <c r="Y206" s="14"/>
      <c r="Z206" s="14"/>
      <c r="AA206" s="14"/>
      <c r="AB206" s="14"/>
      <c r="AC206" s="14"/>
      <c r="AD206" s="14"/>
      <c r="AE206" s="14"/>
      <c r="AF206" s="14"/>
      <c r="AG206" s="14"/>
      <c r="AH206" s="14"/>
      <c r="AI206" s="14"/>
      <c r="AJ206" s="14"/>
      <c r="AK206" s="14"/>
      <c r="AL206" s="14"/>
      <c r="AM206" s="14"/>
      <c r="AN206" s="14"/>
      <c r="AO206" s="14"/>
      <c r="AP206" s="14"/>
      <c r="AQ206" s="14"/>
      <c r="AR206" s="14"/>
      <c r="AS206" s="14"/>
      <c r="AT206" s="14"/>
      <c r="AU206" s="14"/>
      <c r="AV206" s="14"/>
      <c r="AW206" s="14"/>
      <c r="AX206" s="14"/>
      <c r="AY206" s="14"/>
      <c r="AZ206" s="14"/>
      <c r="BA206" s="20">
        <f>SUM(C206:AZ206)</f>
        <v>0</v>
      </c>
      <c r="BB206" s="21">
        <f>BA206*B206</f>
        <v>0</v>
      </c>
    </row>
    <row r="207" spans="1:54" ht="14.1" customHeight="1" x14ac:dyDescent="0.25">
      <c r="A207" s="22" t="s">
        <v>200</v>
      </c>
      <c r="B207" s="23"/>
      <c r="C207" s="26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</row>
    <row r="208" spans="1:54" ht="14.1" customHeight="1" x14ac:dyDescent="0.25">
      <c r="A208" s="24" t="s">
        <v>211</v>
      </c>
      <c r="B208" s="25"/>
      <c r="C208" s="27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</row>
    <row r="209" spans="1:54" ht="14.1" customHeight="1" thickBot="1" x14ac:dyDescent="0.3">
      <c r="A209" s="28" t="s">
        <v>207</v>
      </c>
      <c r="B209" s="29"/>
      <c r="C209" s="27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</row>
    <row r="210" spans="1:54" ht="14.1" customHeight="1" x14ac:dyDescent="0.25">
      <c r="A210" s="17" t="s">
        <v>194</v>
      </c>
      <c r="B210" s="19">
        <v>276</v>
      </c>
      <c r="C210" s="14"/>
      <c r="D210" s="14"/>
      <c r="E210" s="14"/>
      <c r="F210" s="14"/>
      <c r="G210" s="14"/>
      <c r="H210" s="14"/>
      <c r="I210" s="14"/>
      <c r="J210" s="14"/>
      <c r="K210" s="14"/>
      <c r="L210" s="14"/>
      <c r="M210" s="14"/>
      <c r="N210" s="14"/>
      <c r="O210" s="14"/>
      <c r="P210" s="14"/>
      <c r="Q210" s="14"/>
      <c r="R210" s="14"/>
      <c r="S210" s="14"/>
      <c r="T210" s="14"/>
      <c r="U210" s="14"/>
      <c r="V210" s="14"/>
      <c r="W210" s="14"/>
      <c r="X210" s="14"/>
      <c r="Y210" s="14"/>
      <c r="Z210" s="14"/>
      <c r="AA210" s="14"/>
      <c r="AB210" s="14"/>
      <c r="AC210" s="14"/>
      <c r="AD210" s="14"/>
      <c r="AE210" s="14"/>
      <c r="AF210" s="14"/>
      <c r="AG210" s="14"/>
      <c r="AH210" s="14"/>
      <c r="AI210" s="14"/>
      <c r="AJ210" s="14"/>
      <c r="AK210" s="14"/>
      <c r="AL210" s="14"/>
      <c r="AM210" s="14"/>
      <c r="AN210" s="14"/>
      <c r="AO210" s="14"/>
      <c r="AP210" s="14"/>
      <c r="AQ210" s="14"/>
      <c r="AR210" s="14"/>
      <c r="AS210" s="14"/>
      <c r="AT210" s="14"/>
      <c r="AU210" s="14"/>
      <c r="AV210" s="14"/>
      <c r="AW210" s="14"/>
      <c r="AX210" s="14"/>
      <c r="AY210" s="14"/>
      <c r="AZ210" s="14"/>
      <c r="BA210" s="20">
        <f>SUM(C210:AZ210)</f>
        <v>0</v>
      </c>
      <c r="BB210" s="21">
        <f>BA210*B210</f>
        <v>0</v>
      </c>
    </row>
    <row r="211" spans="1:54" ht="14.1" customHeight="1" x14ac:dyDescent="0.25">
      <c r="A211" s="22" t="s">
        <v>65</v>
      </c>
      <c r="B211" s="23"/>
      <c r="C211" s="26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</row>
    <row r="212" spans="1:54" ht="14.1" customHeight="1" thickBot="1" x14ac:dyDescent="0.3">
      <c r="A212" s="28" t="s">
        <v>9</v>
      </c>
      <c r="B212" s="29"/>
      <c r="C212" s="27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</row>
    <row r="213" spans="1:54" ht="14.1" customHeight="1" x14ac:dyDescent="0.25">
      <c r="A213" s="17" t="s">
        <v>195</v>
      </c>
      <c r="B213" s="19">
        <v>300</v>
      </c>
      <c r="C213" s="14"/>
      <c r="D213" s="14"/>
      <c r="E213" s="14"/>
      <c r="F213" s="14"/>
      <c r="G213" s="14"/>
      <c r="H213" s="14"/>
      <c r="I213" s="14"/>
      <c r="J213" s="14"/>
      <c r="K213" s="14"/>
      <c r="L213" s="14"/>
      <c r="M213" s="14"/>
      <c r="N213" s="14"/>
      <c r="O213" s="14"/>
      <c r="P213" s="14"/>
      <c r="Q213" s="14"/>
      <c r="R213" s="14"/>
      <c r="S213" s="14"/>
      <c r="T213" s="14"/>
      <c r="U213" s="14"/>
      <c r="V213" s="14"/>
      <c r="W213" s="14"/>
      <c r="X213" s="14"/>
      <c r="Y213" s="14"/>
      <c r="Z213" s="14"/>
      <c r="AA213" s="14"/>
      <c r="AB213" s="14"/>
      <c r="AC213" s="14"/>
      <c r="AD213" s="14"/>
      <c r="AE213" s="14"/>
      <c r="AF213" s="14"/>
      <c r="AG213" s="14"/>
      <c r="AH213" s="14"/>
      <c r="AI213" s="14"/>
      <c r="AJ213" s="14"/>
      <c r="AK213" s="14"/>
      <c r="AL213" s="14"/>
      <c r="AM213" s="14"/>
      <c r="AN213" s="14"/>
      <c r="AO213" s="14"/>
      <c r="AP213" s="14"/>
      <c r="AQ213" s="14"/>
      <c r="AR213" s="14"/>
      <c r="AS213" s="14"/>
      <c r="AT213" s="14"/>
      <c r="AU213" s="14"/>
      <c r="AV213" s="14"/>
      <c r="AW213" s="14"/>
      <c r="AX213" s="14"/>
      <c r="AY213" s="14"/>
      <c r="AZ213" s="14"/>
      <c r="BA213" s="20">
        <f>SUM(C213:AZ213)</f>
        <v>0</v>
      </c>
      <c r="BB213" s="21">
        <f>BA213*B213</f>
        <v>0</v>
      </c>
    </row>
    <row r="214" spans="1:54" ht="14.1" customHeight="1" x14ac:dyDescent="0.25">
      <c r="A214" s="22" t="s">
        <v>202</v>
      </c>
      <c r="B214" s="23"/>
      <c r="C214" s="26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</row>
    <row r="215" spans="1:54" ht="14.1" customHeight="1" thickBot="1" x14ac:dyDescent="0.3">
      <c r="A215" s="28" t="s">
        <v>204</v>
      </c>
      <c r="B215" s="29"/>
      <c r="C215" s="27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</row>
    <row r="216" spans="1:54" x14ac:dyDescent="0.25">
      <c r="A216" s="30"/>
      <c r="B216" s="30"/>
      <c r="C216" s="15">
        <f>SUMPRODUCT(C9:C213,$B$9:$B$213)</f>
        <v>0</v>
      </c>
      <c r="D216" s="15">
        <f>SUMPRODUCT(D9:D213,$B$9:$B$213)</f>
        <v>0</v>
      </c>
      <c r="E216" s="15">
        <f>SUMPRODUCT(E9:E213,$B$9:$B$213)</f>
        <v>0</v>
      </c>
      <c r="F216" s="15">
        <f>SUMPRODUCT(F9:F213,$B$9:$B$213)</f>
        <v>0</v>
      </c>
      <c r="G216" s="15">
        <f>SUMPRODUCT(G9:G213,$B$9:$B$213)</f>
        <v>0</v>
      </c>
      <c r="H216" s="15">
        <f>SUMPRODUCT(H9:H213,$B$9:$B$213)</f>
        <v>0</v>
      </c>
      <c r="I216" s="15">
        <f>SUMPRODUCT(I9:I213,$B$9:$B$213)</f>
        <v>0</v>
      </c>
      <c r="J216" s="15">
        <f>SUMPRODUCT(J9:J213,$B$9:$B$213)</f>
        <v>0</v>
      </c>
      <c r="K216" s="15">
        <f>SUMPRODUCT(K9:K213,$B$9:$B$213)</f>
        <v>0</v>
      </c>
      <c r="L216" s="15">
        <f>SUMPRODUCT(L9:L213,$B$9:$B$213)</f>
        <v>0</v>
      </c>
      <c r="M216" s="15">
        <f>SUMPRODUCT(M9:M213,$B$9:$B$213)</f>
        <v>0</v>
      </c>
      <c r="N216" s="15">
        <f>SUMPRODUCT(N9:N213,$B$9:$B$213)</f>
        <v>0</v>
      </c>
      <c r="O216" s="15">
        <f>SUMPRODUCT(O9:O213,$B$9:$B$213)</f>
        <v>0</v>
      </c>
      <c r="P216" s="15">
        <f>SUMPRODUCT(P9:P213,$B$9:$B$213)</f>
        <v>0</v>
      </c>
      <c r="Q216" s="15">
        <f>SUMPRODUCT(Q9:Q213,$B$9:$B$213)</f>
        <v>0</v>
      </c>
      <c r="R216" s="15">
        <f>SUMPRODUCT(R9:R213,$B$9:$B$213)</f>
        <v>0</v>
      </c>
      <c r="S216" s="15">
        <f>SUMPRODUCT(S9:S213,$B$9:$B$213)</f>
        <v>0</v>
      </c>
      <c r="T216" s="15">
        <f>SUMPRODUCT(T9:T213,$B$9:$B$213)</f>
        <v>0</v>
      </c>
      <c r="U216" s="15">
        <f>SUMPRODUCT(U9:U213,$B$9:$B$213)</f>
        <v>0</v>
      </c>
      <c r="V216" s="15">
        <f>SUMPRODUCT(V9:V213,$B$9:$B$213)</f>
        <v>0</v>
      </c>
      <c r="W216" s="15">
        <f>SUMPRODUCT(W9:W213,$B$9:$B$213)</f>
        <v>0</v>
      </c>
      <c r="X216" s="15">
        <f>SUMPRODUCT(X9:X213,$B$9:$B$213)</f>
        <v>0</v>
      </c>
      <c r="Y216" s="15">
        <f>SUMPRODUCT(Y9:Y213,$B$9:$B$213)</f>
        <v>0</v>
      </c>
      <c r="Z216" s="15">
        <f>SUMPRODUCT(Z9:Z213,$B$9:$B$213)</f>
        <v>0</v>
      </c>
      <c r="AA216" s="15">
        <f>SUMPRODUCT(AA9:AA213,$B$9:$B$213)</f>
        <v>0</v>
      </c>
      <c r="AB216" s="15">
        <f>SUMPRODUCT(AB9:AB213,$B$9:$B$213)</f>
        <v>0</v>
      </c>
      <c r="AC216" s="15">
        <f>SUMPRODUCT(AC9:AC213,$B$9:$B$213)</f>
        <v>0</v>
      </c>
      <c r="AD216" s="15">
        <f>SUMPRODUCT(AD9:AD213,$B$9:$B$213)</f>
        <v>0</v>
      </c>
      <c r="AE216" s="15">
        <f>SUMPRODUCT(AE9:AE213,$B$9:$B$213)</f>
        <v>0</v>
      </c>
      <c r="AF216" s="15">
        <f>SUMPRODUCT(AF9:AF213,$B$9:$B$213)</f>
        <v>0</v>
      </c>
      <c r="AG216" s="15">
        <f>SUMPRODUCT(AG9:AG213,$B$9:$B$213)</f>
        <v>0</v>
      </c>
      <c r="AH216" s="15">
        <f>SUMPRODUCT(AH9:AH213,$B$9:$B$213)</f>
        <v>0</v>
      </c>
      <c r="AI216" s="15">
        <f>SUMPRODUCT(AI9:AI213,$B$9:$B$213)</f>
        <v>0</v>
      </c>
      <c r="AJ216" s="15">
        <f>SUMPRODUCT(AJ9:AJ213,$B$9:$B$213)</f>
        <v>0</v>
      </c>
      <c r="AK216" s="15">
        <f>SUMPRODUCT(AK9:AK213,$B$9:$B$213)</f>
        <v>0</v>
      </c>
      <c r="AL216" s="15">
        <f>SUMPRODUCT(AL9:AL213,$B$9:$B$213)</f>
        <v>0</v>
      </c>
      <c r="AM216" s="15">
        <f>SUMPRODUCT(AM9:AM213,$B$9:$B$213)</f>
        <v>0</v>
      </c>
      <c r="AN216" s="15">
        <f>SUMPRODUCT(AN9:AN213,$B$9:$B$213)</f>
        <v>0</v>
      </c>
      <c r="AO216" s="15">
        <f>SUMPRODUCT(AO9:AO213,$B$9:$B$213)</f>
        <v>0</v>
      </c>
      <c r="AP216" s="15">
        <f>SUMPRODUCT(AP9:AP213,$B$9:$B$213)</f>
        <v>0</v>
      </c>
      <c r="AQ216" s="15">
        <f>SUMPRODUCT(AQ9:AQ213,$B$9:$B$213)</f>
        <v>0</v>
      </c>
      <c r="AR216" s="15">
        <f>SUMPRODUCT(AR9:AR213,$B$9:$B$213)</f>
        <v>0</v>
      </c>
      <c r="AS216" s="15">
        <f>SUMPRODUCT(AS9:AS213,$B$9:$B$213)</f>
        <v>0</v>
      </c>
      <c r="AT216" s="15">
        <f>SUMPRODUCT(AT9:AT213,$B$9:$B$213)</f>
        <v>0</v>
      </c>
      <c r="AU216" s="15">
        <f>SUMPRODUCT(AU9:AU213,$B$9:$B$213)</f>
        <v>0</v>
      </c>
      <c r="AV216" s="15">
        <f>SUMPRODUCT(AV9:AV213,$B$9:$B$213)</f>
        <v>0</v>
      </c>
      <c r="AW216" s="15">
        <f>SUMPRODUCT(AW9:AW213,$B$9:$B$213)</f>
        <v>0</v>
      </c>
      <c r="AX216" s="15">
        <f>SUMPRODUCT(AX9:AX213,$B$9:$B$213)</f>
        <v>0</v>
      </c>
      <c r="AY216" s="15">
        <f>SUMPRODUCT(AY9:AY213,$B$9:$B$213)</f>
        <v>0</v>
      </c>
      <c r="AZ216" s="15">
        <f>SUMPRODUCT(AZ9:AZ213,$B$9:$B$213)</f>
        <v>0</v>
      </c>
      <c r="BA216" s="15">
        <f>$BA$10+$BA$11+$BA$12+$BA$13+$BA$14+$BA$15+$BA$16+$BA$17+$BA$18+$BA$19+$BA$20+$BA$21+$BA$22+$BA$23+$BA$24+$BA$25+$BA$26+$BA$27+$BA$28+$BA$29+$BA$30+$BA$31+$BA$33+$BA$34+$BA$35+$BA$36+$BA$37+$BA$38+$BA$39+$BA$40+$BA$41+$BA$42+$BA$43+$BA$44+$BA$45+$BA$47+$BA$48+$BA$50+$BA$51+$BA$52+$BA$53+$BA$54+$BA$55+$BA$56+$BA$57+$BA$58+$BA$59+$BA$60+$BA$61+$BA$62+$BA$63+$BA$64+$BA$65+$BA$66+$BA$67+$BA$68+$BA$69+$BA$70+$BA$71+$BA$72+$BA$73+$BA$74+$BA$75+$BA$76+$BA$77+$BA$78+$BA$79+$BA$80+$BA$81+$BA$82+$BA$83+$BA$84+$BA$85+$BA$86+$BA$87+$BA$88+$BA$89+$BA$90+$BA$91+$BA$92+$BA$93+$BA$94+$BA$96+$BA$97+$BA$98+$BA$99+$BA$101+$BA$102+$BA$103+$BA$104+$BA$105+$BA$106+$BA$107+$BA$108+$BA$109+$BA$110+$BA$111+$BA$113+$BA$114+$BA$115+$BA$116+$BA$117+$BA$119+$BA$120+$BA$121+$BA$122+$BA$123+$BA$124+$BA$125+$BA$126+$BA$127+$BA$128+$BA$129+$BA$130+$BA$131+$BA$132+$BA$133+$BA$134+$BA$135+$BA$136+$BA$138+$BA$139+$BA$140+$BA$141+$BA$142+$BA$143+$BA$144+$BA$145+$BA$146+$BA$147+$BA$148+$BA$149+$BA$150+$BA$151+$BA$152+$BA$153+$BA$154+$BA$155+$BA$156+$BA$157+$BA$158+$BA$159+$BA$160+$BA$162+$BA$163+$BA$164+$BA$165+$BA$166+$BA$167+$BA$168+$BA$169+$BA$170+$BA$171+$BA$172+$BA$173+$BA$174+$BA$175+$BA$176+$BA$177+$BA$178+$BA$179+$BA$181+$BA$185+$BA$189+$BA$194+$BA$198+$BA$203+$BA$206+$BA$210+$BA$213</f>
        <v>0</v>
      </c>
      <c r="BB216" s="13">
        <f>$BB$10+$BB$11+$BB$12+$BB$13+$BB$14+$BB$15+$BB$16+$BB$17+$BB$18+$BB$19+$BB$20+$BB$21+$BB$22+$BB$23+$BB$24+$BB$25+$BB$26+$BB$27+$BB$28+$BB$29+$BB$30+$BB$31+$BB$33+$BB$34+$BB$35+$BB$36+$BB$37+$BB$38+$BB$39+$BB$40+$BB$41+$BB$42+$BB$43+$BB$44+$BB$45+$BB$47+$BB$48+$BB$50+$BB$51+$BB$52+$BB$53+$BB$54+$BB$55+$BB$56+$BB$57+$BB$58+$BB$59+$BB$60+$BB$61+$BB$62+$BB$63+$BB$64+$BB$65+$BB$66+$BB$67+$BB$68+$BB$69+$BB$70+$BB$71+$BB$72+$BB$73+$BB$74+$BB$75+$BB$76+$BB$77+$BB$78+$BB$79+$BB$80+$BB$81+$BB$82+$BB$83+$BB$84+$BB$85+$BB$86+$BB$87+$BB$88+$BB$89+$BB$90+$BB$91+$BB$92+$BB$93+$BB$94+$BB$96+$BB$97+$BB$98+$BB$99+$BB$101+$BB$102+$BB$103+$BB$104+$BB$105+$BB$106+$BB$107+$BB$108+$BB$109+$BB$110+$BB$111+$BB$113+$BB$114+$BB$115+$BB$116+$BB$117+$BB$119+$BB$120+$BB$121+$BB$122+$BB$123+$BB$124+$BB$125+$BB$126+$BB$127+$BB$128+$BB$129+$BB$130+$BB$131+$BB$132+$BB$133+$BB$134+$BB$135+$BB$136+$BB$138+$BB$139+$BB$140+$BB$141+$BB$142+$BB$143+$BB$144+$BB$145+$BB$146+$BB$147+$BB$148+$BB$149+$BB$150+$BB$151+$BB$152+$BB$153+$BB$154+$BB$155+$BB$156+$BB$157+$BB$158+$BB$159+$BB$160+$BB$162+$BB$163+$BB$164+$BB$165+$BB$166+$BB$167+$BB$168+$BB$169+$BB$170+$BB$171+$BB$172+$BB$173+$BB$174+$BB$175+$BB$176+$BB$177+$BB$178+$BB$179+$BB$181+$BB$185+$BB$189+$BB$194+$BB$198+$BB$203+$BB$206+$BB$210+$BB$213</f>
        <v>0</v>
      </c>
    </row>
  </sheetData>
  <sheetProtection algorithmName="SHA-512" hashValue="LjfdY+fhvkJO7bHfUHkqg61RwWOffQ1CF+/nHLmjXN5AYJdau05RlW/Cb2rMJ+WlTS9yOFWDgXk0ILgOsUzfUQ==" saltValue="9MqEi9Rns/VlJDhUafSX/w==" spinCount="100000" sheet="1" objects="1" scenarios="1"/>
  <mergeCells count="42">
    <mergeCell ref="A214:B214"/>
    <mergeCell ref="A215:B215"/>
    <mergeCell ref="C214:BB215"/>
    <mergeCell ref="A207:B207"/>
    <mergeCell ref="A208:B208"/>
    <mergeCell ref="A209:B209"/>
    <mergeCell ref="C207:BB209"/>
    <mergeCell ref="A211:B211"/>
    <mergeCell ref="A212:B212"/>
    <mergeCell ref="C211:BB212"/>
    <mergeCell ref="A201:B201"/>
    <mergeCell ref="A202:B202"/>
    <mergeCell ref="C199:BB202"/>
    <mergeCell ref="A204:B204"/>
    <mergeCell ref="A205:B205"/>
    <mergeCell ref="C204:BB205"/>
    <mergeCell ref="A195:B195"/>
    <mergeCell ref="A196:B196"/>
    <mergeCell ref="A197:B197"/>
    <mergeCell ref="C195:BB197"/>
    <mergeCell ref="A199:B199"/>
    <mergeCell ref="A200:B200"/>
    <mergeCell ref="A188:B188"/>
    <mergeCell ref="C186:BB188"/>
    <mergeCell ref="A190:B190"/>
    <mergeCell ref="A191:B191"/>
    <mergeCell ref="A192:B192"/>
    <mergeCell ref="A193:B193"/>
    <mergeCell ref="C190:BB193"/>
    <mergeCell ref="A182:B182"/>
    <mergeCell ref="A183:B183"/>
    <mergeCell ref="A184:B184"/>
    <mergeCell ref="C182:BB184"/>
    <mergeCell ref="A186:B186"/>
    <mergeCell ref="A187:B187"/>
    <mergeCell ref="A1:B4"/>
    <mergeCell ref="C1:BB4"/>
    <mergeCell ref="C5:AZ5"/>
    <mergeCell ref="C6:AZ6"/>
    <mergeCell ref="C7:AZ7"/>
    <mergeCell ref="BA5:BA7"/>
    <mergeCell ref="BB5:BB7"/>
  </mergeCells>
  <pageMargins left="0.39370078740157499" right="0.39370078740157499" top="0.75" bottom="0.75" header="0.3" footer="0.3"/>
  <pageSetup paperSize="9" scale="80" orientation="portrait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215"/>
  <sheetViews>
    <sheetView workbookViewId="0">
      <pane xSplit="2" ySplit="8" topLeftCell="C9" activePane="bottomRight" state="frozenSplit"/>
      <selection pane="bottomLeft" activeCell="A9" sqref="A9"/>
      <selection pane="topRight" activeCell="C1" sqref="C1"/>
      <selection pane="bottomRight" sqref="A1:B4"/>
    </sheetView>
  </sheetViews>
  <sheetFormatPr defaultRowHeight="15" x14ac:dyDescent="0.25"/>
  <cols>
    <col min="1" max="1" width="70.7109375" customWidth="1"/>
    <col min="2" max="2" width="7.7109375" customWidth="1"/>
    <col min="3" max="52" width="3.7109375" customWidth="1"/>
    <col min="53" max="53" width="5.7109375" customWidth="1"/>
    <col min="54" max="54" width="20.7109375" customWidth="1"/>
  </cols>
  <sheetData>
    <row r="1" spans="1:54" ht="35.1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</row>
    <row r="2" spans="1:54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spans="1:5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spans="1:54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spans="1:54" ht="20.100000000000001" customHeight="1" x14ac:dyDescent="0.25">
      <c r="C5" s="3" t="s">
        <v>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5" t="s">
        <v>5</v>
      </c>
      <c r="BB5" s="6" t="s">
        <v>6</v>
      </c>
    </row>
    <row r="6" spans="1:54" ht="20.100000000000001" customHeight="1" x14ac:dyDescent="0.25">
      <c r="C6" s="3" t="s">
        <v>212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5"/>
      <c r="BB6" s="6"/>
    </row>
    <row r="7" spans="1:54" ht="20.100000000000001" customHeight="1" x14ac:dyDescent="0.25">
      <c r="C7" s="3" t="s">
        <v>213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5"/>
      <c r="BB7" s="6"/>
    </row>
    <row r="8" spans="1:54" ht="14.1" customHeight="1" x14ac:dyDescent="0.25">
      <c r="A8" s="7" t="s">
        <v>0</v>
      </c>
      <c r="B8" s="8" t="s">
        <v>1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8"/>
      <c r="BB8" s="8"/>
    </row>
    <row r="9" spans="1:54" x14ac:dyDescent="0.25">
      <c r="A9" s="10" t="s">
        <v>7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</row>
    <row r="10" spans="1:54" ht="14.1" customHeight="1" x14ac:dyDescent="0.25">
      <c r="A10" s="12" t="s">
        <v>8</v>
      </c>
      <c r="B10" s="13">
        <v>127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5">
        <f>SUM(C10:AZ10)</f>
        <v>0</v>
      </c>
      <c r="BB10" s="13">
        <f>BA10*B10</f>
        <v>0</v>
      </c>
    </row>
    <row r="11" spans="1:54" ht="14.1" customHeight="1" x14ac:dyDescent="0.25">
      <c r="A11" s="12" t="s">
        <v>9</v>
      </c>
      <c r="B11" s="13">
        <v>127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5">
        <f>SUM(C11:AZ11)</f>
        <v>0</v>
      </c>
      <c r="BB11" s="13">
        <f>BA11*B11</f>
        <v>0</v>
      </c>
    </row>
    <row r="12" spans="1:54" ht="14.1" customHeight="1" x14ac:dyDescent="0.25">
      <c r="A12" s="12" t="s">
        <v>10</v>
      </c>
      <c r="B12" s="13">
        <v>105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5">
        <f>SUM(C12:AZ12)</f>
        <v>0</v>
      </c>
      <c r="BB12" s="13">
        <f>BA12*B12</f>
        <v>0</v>
      </c>
    </row>
    <row r="13" spans="1:54" ht="14.1" customHeight="1" x14ac:dyDescent="0.25">
      <c r="A13" s="12" t="s">
        <v>11</v>
      </c>
      <c r="B13" s="13">
        <v>149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5">
        <f>SUM(C13:AZ13)</f>
        <v>0</v>
      </c>
      <c r="BB13" s="13">
        <f>BA13*B13</f>
        <v>0</v>
      </c>
    </row>
    <row r="14" spans="1:54" ht="14.1" customHeight="1" x14ac:dyDescent="0.25">
      <c r="A14" s="12" t="s">
        <v>12</v>
      </c>
      <c r="B14" s="13">
        <v>149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5">
        <f>SUM(C14:AZ14)</f>
        <v>0</v>
      </c>
      <c r="BB14" s="13">
        <f>BA14*B14</f>
        <v>0</v>
      </c>
    </row>
    <row r="15" spans="1:54" ht="14.1" customHeight="1" x14ac:dyDescent="0.25">
      <c r="A15" s="12" t="s">
        <v>13</v>
      </c>
      <c r="B15" s="13">
        <v>135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5">
        <f>SUM(C15:AZ15)</f>
        <v>0</v>
      </c>
      <c r="BB15" s="13">
        <f>BA15*B15</f>
        <v>0</v>
      </c>
    </row>
    <row r="16" spans="1:54" ht="14.1" customHeight="1" x14ac:dyDescent="0.25">
      <c r="A16" s="12" t="s">
        <v>14</v>
      </c>
      <c r="B16" s="13">
        <v>135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5">
        <f>SUM(C16:AZ16)</f>
        <v>0</v>
      </c>
      <c r="BB16" s="13">
        <f>BA16*B16</f>
        <v>0</v>
      </c>
    </row>
    <row r="17" spans="1:54" ht="14.1" customHeight="1" x14ac:dyDescent="0.25">
      <c r="A17" s="12" t="s">
        <v>15</v>
      </c>
      <c r="B17" s="13">
        <v>135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5">
        <f>SUM(C17:AZ17)</f>
        <v>0</v>
      </c>
      <c r="BB17" s="13">
        <f>BA17*B17</f>
        <v>0</v>
      </c>
    </row>
    <row r="18" spans="1:54" ht="14.1" customHeight="1" x14ac:dyDescent="0.25">
      <c r="A18" s="12" t="s">
        <v>16</v>
      </c>
      <c r="B18" s="13">
        <v>142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5">
        <f>SUM(C18:AZ18)</f>
        <v>0</v>
      </c>
      <c r="BB18" s="13">
        <f>BA18*B18</f>
        <v>0</v>
      </c>
    </row>
    <row r="19" spans="1:54" ht="14.1" customHeight="1" x14ac:dyDescent="0.25">
      <c r="A19" s="12" t="s">
        <v>18</v>
      </c>
      <c r="B19" s="13">
        <v>157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5">
        <f>SUM(C19:AZ19)</f>
        <v>0</v>
      </c>
      <c r="BB19" s="13">
        <f>BA19*B19</f>
        <v>0</v>
      </c>
    </row>
    <row r="20" spans="1:54" ht="14.1" customHeight="1" x14ac:dyDescent="0.25">
      <c r="A20" s="12" t="s">
        <v>19</v>
      </c>
      <c r="B20" s="13">
        <v>112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5">
        <f>SUM(C20:AZ20)</f>
        <v>0</v>
      </c>
      <c r="BB20" s="13">
        <f>BA20*B20</f>
        <v>0</v>
      </c>
    </row>
    <row r="21" spans="1:54" ht="14.1" customHeight="1" x14ac:dyDescent="0.25">
      <c r="A21" s="12" t="s">
        <v>20</v>
      </c>
      <c r="B21" s="13">
        <v>268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5">
        <f>SUM(C21:AZ21)</f>
        <v>0</v>
      </c>
      <c r="BB21" s="13">
        <f>BA21*B21</f>
        <v>0</v>
      </c>
    </row>
    <row r="22" spans="1:54" ht="14.1" customHeight="1" x14ac:dyDescent="0.25">
      <c r="A22" s="12" t="s">
        <v>21</v>
      </c>
      <c r="B22" s="13">
        <v>268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5">
        <f>SUM(C22:AZ22)</f>
        <v>0</v>
      </c>
      <c r="BB22" s="13">
        <f>BA22*B22</f>
        <v>0</v>
      </c>
    </row>
    <row r="23" spans="1:54" ht="14.1" customHeight="1" x14ac:dyDescent="0.25">
      <c r="A23" s="12" t="s">
        <v>22</v>
      </c>
      <c r="B23" s="13">
        <v>268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5">
        <f>SUM(C23:AZ23)</f>
        <v>0</v>
      </c>
      <c r="BB23" s="13">
        <f>BA23*B23</f>
        <v>0</v>
      </c>
    </row>
    <row r="24" spans="1:54" ht="14.1" customHeight="1" x14ac:dyDescent="0.25">
      <c r="A24" s="12" t="s">
        <v>23</v>
      </c>
      <c r="B24" s="13">
        <v>230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5">
        <f>SUM(C24:AZ24)</f>
        <v>0</v>
      </c>
      <c r="BB24" s="13">
        <f>BA24*B24</f>
        <v>0</v>
      </c>
    </row>
    <row r="25" spans="1:54" ht="14.1" customHeight="1" x14ac:dyDescent="0.25">
      <c r="A25" s="12" t="s">
        <v>24</v>
      </c>
      <c r="B25" s="13">
        <v>253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5">
        <f>SUM(C25:AZ25)</f>
        <v>0</v>
      </c>
      <c r="BB25" s="13">
        <f>BA25*B25</f>
        <v>0</v>
      </c>
    </row>
    <row r="26" spans="1:54" ht="14.1" customHeight="1" x14ac:dyDescent="0.25">
      <c r="A26" s="12" t="s">
        <v>17</v>
      </c>
      <c r="B26" s="13">
        <v>135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5">
        <f>SUM(C26:AZ26)</f>
        <v>0</v>
      </c>
      <c r="BB26" s="13">
        <f>BA26*B26</f>
        <v>0</v>
      </c>
    </row>
    <row r="27" spans="1:54" ht="14.1" customHeight="1" x14ac:dyDescent="0.25">
      <c r="A27" s="12" t="s">
        <v>27</v>
      </c>
      <c r="B27" s="13">
        <v>164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5">
        <f>SUM(C27:AZ27)</f>
        <v>0</v>
      </c>
      <c r="BB27" s="13">
        <f>BA27*B27</f>
        <v>0</v>
      </c>
    </row>
    <row r="28" spans="1:54" ht="14.1" customHeight="1" x14ac:dyDescent="0.25">
      <c r="A28" s="12" t="s">
        <v>29</v>
      </c>
      <c r="B28" s="13">
        <v>224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5">
        <f>SUM(C28:AZ28)</f>
        <v>0</v>
      </c>
      <c r="BB28" s="13">
        <f>BA28*B28</f>
        <v>0</v>
      </c>
    </row>
    <row r="29" spans="1:54" x14ac:dyDescent="0.25">
      <c r="A29" s="10" t="s">
        <v>30</v>
      </c>
      <c r="B29" s="11"/>
      <c r="C29" s="11"/>
      <c r="D29" s="11"/>
      <c r="E29" s="11"/>
      <c r="F29" s="11"/>
      <c r="G29" s="11"/>
      <c r="H29" s="11"/>
      <c r="I29" s="11"/>
      <c r="J29" s="11"/>
      <c r="K29" s="11"/>
      <c r="L29" s="11"/>
      <c r="M29" s="11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  <c r="AA29" s="11"/>
      <c r="AB29" s="11"/>
      <c r="AC29" s="11"/>
      <c r="AD29" s="11"/>
      <c r="AE29" s="11"/>
      <c r="AF29" s="11"/>
      <c r="AG29" s="11"/>
      <c r="AH29" s="11"/>
      <c r="AI29" s="11"/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</row>
    <row r="30" spans="1:54" ht="14.1" customHeight="1" x14ac:dyDescent="0.25">
      <c r="A30" s="12" t="s">
        <v>31</v>
      </c>
      <c r="B30" s="13">
        <v>184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5">
        <f>SUM(C30:AZ30)</f>
        <v>0</v>
      </c>
      <c r="BB30" s="13">
        <f>BA30*B30</f>
        <v>0</v>
      </c>
    </row>
    <row r="31" spans="1:54" ht="14.1" customHeight="1" x14ac:dyDescent="0.25">
      <c r="A31" s="12" t="s">
        <v>32</v>
      </c>
      <c r="B31" s="13">
        <v>173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5">
        <f>SUM(C31:AZ31)</f>
        <v>0</v>
      </c>
      <c r="BB31" s="13">
        <f>BA31*B31</f>
        <v>0</v>
      </c>
    </row>
    <row r="32" spans="1:54" ht="14.1" customHeight="1" x14ac:dyDescent="0.25">
      <c r="A32" s="12" t="s">
        <v>214</v>
      </c>
      <c r="B32" s="13">
        <v>129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5">
        <f>SUM(C32:AZ32)</f>
        <v>0</v>
      </c>
      <c r="BB32" s="13">
        <f>BA32*B32</f>
        <v>0</v>
      </c>
    </row>
    <row r="33" spans="1:54" ht="14.1" customHeight="1" x14ac:dyDescent="0.25">
      <c r="A33" s="12" t="s">
        <v>33</v>
      </c>
      <c r="B33" s="13">
        <v>142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5">
        <f>SUM(C33:AZ33)</f>
        <v>0</v>
      </c>
      <c r="BB33" s="13">
        <f>BA33*B33</f>
        <v>0</v>
      </c>
    </row>
    <row r="34" spans="1:54" ht="14.1" customHeight="1" x14ac:dyDescent="0.25">
      <c r="A34" s="12" t="s">
        <v>34</v>
      </c>
      <c r="B34" s="13">
        <v>142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5">
        <f>SUM(C34:AZ34)</f>
        <v>0</v>
      </c>
      <c r="BB34" s="13">
        <f>BA34*B34</f>
        <v>0</v>
      </c>
    </row>
    <row r="35" spans="1:54" ht="14.1" customHeight="1" x14ac:dyDescent="0.25">
      <c r="A35" s="12" t="s">
        <v>35</v>
      </c>
      <c r="B35" s="13">
        <v>142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5">
        <f>SUM(C35:AZ35)</f>
        <v>0</v>
      </c>
      <c r="BB35" s="13">
        <f>BA35*B35</f>
        <v>0</v>
      </c>
    </row>
    <row r="36" spans="1:54" ht="14.1" customHeight="1" x14ac:dyDescent="0.25">
      <c r="A36" s="12" t="s">
        <v>36</v>
      </c>
      <c r="B36" s="13">
        <v>149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5">
        <f>SUM(C36:AZ36)</f>
        <v>0</v>
      </c>
      <c r="BB36" s="13">
        <f>BA36*B36</f>
        <v>0</v>
      </c>
    </row>
    <row r="37" spans="1:54" ht="14.1" customHeight="1" x14ac:dyDescent="0.25">
      <c r="A37" s="12" t="s">
        <v>37</v>
      </c>
      <c r="B37" s="13">
        <v>151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5">
        <f>SUM(C37:AZ37)</f>
        <v>0</v>
      </c>
      <c r="BB37" s="13">
        <f>BA37*B37</f>
        <v>0</v>
      </c>
    </row>
    <row r="38" spans="1:54" ht="14.1" customHeight="1" x14ac:dyDescent="0.25">
      <c r="A38" s="12" t="s">
        <v>38</v>
      </c>
      <c r="B38" s="13">
        <v>124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5">
        <f>SUM(C38:AZ38)</f>
        <v>0</v>
      </c>
      <c r="BB38" s="13">
        <f>BA38*B38</f>
        <v>0</v>
      </c>
    </row>
    <row r="39" spans="1:54" ht="14.1" customHeight="1" x14ac:dyDescent="0.25">
      <c r="A39" s="12" t="s">
        <v>39</v>
      </c>
      <c r="B39" s="13">
        <v>124</v>
      </c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5">
        <f>SUM(C39:AZ39)</f>
        <v>0</v>
      </c>
      <c r="BB39" s="13">
        <f>BA39*B39</f>
        <v>0</v>
      </c>
    </row>
    <row r="40" spans="1:54" ht="14.1" customHeight="1" x14ac:dyDescent="0.25">
      <c r="A40" s="12" t="s">
        <v>40</v>
      </c>
      <c r="B40" s="13">
        <v>135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5">
        <f>SUM(C40:AZ40)</f>
        <v>0</v>
      </c>
      <c r="BB40" s="13">
        <f>BA40*B40</f>
        <v>0</v>
      </c>
    </row>
    <row r="41" spans="1:54" ht="14.1" customHeight="1" x14ac:dyDescent="0.25">
      <c r="A41" s="12" t="s">
        <v>41</v>
      </c>
      <c r="B41" s="13">
        <v>138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5">
        <f>SUM(C41:AZ41)</f>
        <v>0</v>
      </c>
      <c r="BB41" s="13">
        <f>BA41*B41</f>
        <v>0</v>
      </c>
    </row>
    <row r="42" spans="1:54" ht="14.1" customHeight="1" x14ac:dyDescent="0.25">
      <c r="A42" s="12" t="s">
        <v>42</v>
      </c>
      <c r="B42" s="13">
        <v>130</v>
      </c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5">
        <f>SUM(C42:AZ42)</f>
        <v>0</v>
      </c>
      <c r="BB42" s="13">
        <f>BA42*B42</f>
        <v>0</v>
      </c>
    </row>
    <row r="43" spans="1:54" ht="14.1" customHeight="1" x14ac:dyDescent="0.25">
      <c r="A43" s="12" t="s">
        <v>43</v>
      </c>
      <c r="B43" s="13">
        <v>137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5">
        <f>SUM(C43:AZ43)</f>
        <v>0</v>
      </c>
      <c r="BB43" s="13">
        <f>BA43*B43</f>
        <v>0</v>
      </c>
    </row>
    <row r="44" spans="1:54" x14ac:dyDescent="0.25">
      <c r="A44" s="10" t="s">
        <v>44</v>
      </c>
      <c r="B44" s="11"/>
      <c r="C44" s="11"/>
      <c r="D44" s="11"/>
      <c r="E44" s="11"/>
      <c r="F44" s="11"/>
      <c r="G44" s="11"/>
      <c r="H44" s="11"/>
      <c r="I44" s="11"/>
      <c r="J44" s="11"/>
      <c r="K44" s="11"/>
      <c r="L44" s="11"/>
      <c r="M44" s="11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  <c r="AA44" s="11"/>
      <c r="AB44" s="11"/>
      <c r="AC44" s="11"/>
      <c r="AD44" s="11"/>
      <c r="AE44" s="11"/>
      <c r="AF44" s="11"/>
      <c r="AG44" s="11"/>
      <c r="AH44" s="11"/>
      <c r="AI44" s="11"/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</row>
    <row r="45" spans="1:54" ht="14.1" customHeight="1" x14ac:dyDescent="0.25">
      <c r="A45" s="12" t="s">
        <v>215</v>
      </c>
      <c r="B45" s="13">
        <v>205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5">
        <f>SUM(C45:AZ45)</f>
        <v>0</v>
      </c>
      <c r="BB45" s="13">
        <f>BA45*B45</f>
        <v>0</v>
      </c>
    </row>
    <row r="46" spans="1:54" ht="14.1" customHeight="1" x14ac:dyDescent="0.25">
      <c r="A46" s="12" t="s">
        <v>216</v>
      </c>
      <c r="B46" s="13">
        <v>154</v>
      </c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5">
        <f>SUM(C46:AZ46)</f>
        <v>0</v>
      </c>
      <c r="BB46" s="13">
        <f>BA46*B46</f>
        <v>0</v>
      </c>
    </row>
    <row r="47" spans="1:54" x14ac:dyDescent="0.25">
      <c r="A47" s="10" t="s">
        <v>47</v>
      </c>
      <c r="B47" s="11"/>
      <c r="C47" s="11"/>
      <c r="D47" s="11"/>
      <c r="E47" s="11"/>
      <c r="F47" s="11"/>
      <c r="G47" s="11"/>
      <c r="H47" s="11"/>
      <c r="I47" s="11"/>
      <c r="J47" s="11"/>
      <c r="K47" s="11"/>
      <c r="L47" s="11"/>
      <c r="M47" s="11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  <c r="AA47" s="11"/>
      <c r="AB47" s="11"/>
      <c r="AC47" s="11"/>
      <c r="AD47" s="11"/>
      <c r="AE47" s="11"/>
      <c r="AF47" s="11"/>
      <c r="AG47" s="11"/>
      <c r="AH47" s="11"/>
      <c r="AI47" s="11"/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</row>
    <row r="48" spans="1:54" ht="14.1" customHeight="1" x14ac:dyDescent="0.25">
      <c r="A48" s="12" t="s">
        <v>73</v>
      </c>
      <c r="B48" s="13">
        <v>191</v>
      </c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5">
        <f>SUM(C48:AZ48)</f>
        <v>0</v>
      </c>
      <c r="BB48" s="13">
        <f>BA48*B48</f>
        <v>0</v>
      </c>
    </row>
    <row r="49" spans="1:54" ht="14.1" customHeight="1" x14ac:dyDescent="0.25">
      <c r="A49" s="12" t="s">
        <v>217</v>
      </c>
      <c r="B49" s="13">
        <v>131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5">
        <f>SUM(C49:AZ49)</f>
        <v>0</v>
      </c>
      <c r="BB49" s="13">
        <f>BA49*B49</f>
        <v>0</v>
      </c>
    </row>
    <row r="50" spans="1:54" ht="14.1" customHeight="1" x14ac:dyDescent="0.25">
      <c r="A50" s="12" t="s">
        <v>49</v>
      </c>
      <c r="B50" s="13">
        <v>273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5">
        <f>SUM(C50:AZ50)</f>
        <v>0</v>
      </c>
      <c r="BB50" s="13">
        <f>BA50*B50</f>
        <v>0</v>
      </c>
    </row>
    <row r="51" spans="1:54" ht="14.1" customHeight="1" x14ac:dyDescent="0.25">
      <c r="A51" s="12" t="s">
        <v>48</v>
      </c>
      <c r="B51" s="13">
        <v>245</v>
      </c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5">
        <f>SUM(C51:AZ51)</f>
        <v>0</v>
      </c>
      <c r="BB51" s="13">
        <f>BA51*B51</f>
        <v>0</v>
      </c>
    </row>
    <row r="52" spans="1:54" ht="14.1" customHeight="1" x14ac:dyDescent="0.25">
      <c r="A52" s="12" t="s">
        <v>60</v>
      </c>
      <c r="B52" s="13">
        <v>219</v>
      </c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5">
        <f>SUM(C52:AZ52)</f>
        <v>0</v>
      </c>
      <c r="BB52" s="13">
        <f>BA52*B52</f>
        <v>0</v>
      </c>
    </row>
    <row r="53" spans="1:54" ht="14.1" customHeight="1" x14ac:dyDescent="0.25">
      <c r="A53" s="12" t="s">
        <v>91</v>
      </c>
      <c r="B53" s="13">
        <v>164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5">
        <f>SUM(C53:AZ53)</f>
        <v>0</v>
      </c>
      <c r="BB53" s="13">
        <f>BA53*B53</f>
        <v>0</v>
      </c>
    </row>
    <row r="54" spans="1:54" ht="14.1" customHeight="1" x14ac:dyDescent="0.25">
      <c r="A54" s="12" t="s">
        <v>52</v>
      </c>
      <c r="B54" s="13">
        <v>178</v>
      </c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5">
        <f>SUM(C54:AZ54)</f>
        <v>0</v>
      </c>
      <c r="BB54" s="13">
        <f>BA54*B54</f>
        <v>0</v>
      </c>
    </row>
    <row r="55" spans="1:54" ht="14.1" customHeight="1" x14ac:dyDescent="0.25">
      <c r="A55" s="12" t="s">
        <v>93</v>
      </c>
      <c r="B55" s="13">
        <v>178</v>
      </c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5">
        <f>SUM(C55:AZ55)</f>
        <v>0</v>
      </c>
      <c r="BB55" s="13">
        <f>BA55*B55</f>
        <v>0</v>
      </c>
    </row>
    <row r="56" spans="1:54" ht="14.1" customHeight="1" x14ac:dyDescent="0.25">
      <c r="A56" s="12" t="s">
        <v>92</v>
      </c>
      <c r="B56" s="13">
        <v>137</v>
      </c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5">
        <f>SUM(C56:AZ56)</f>
        <v>0</v>
      </c>
      <c r="BB56" s="13">
        <f>BA56*B56</f>
        <v>0</v>
      </c>
    </row>
    <row r="57" spans="1:54" ht="14.1" customHeight="1" x14ac:dyDescent="0.25">
      <c r="A57" s="12" t="s">
        <v>72</v>
      </c>
      <c r="B57" s="13">
        <v>219</v>
      </c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5">
        <f>SUM(C57:AZ57)</f>
        <v>0</v>
      </c>
      <c r="BB57" s="13">
        <f>BA57*B57</f>
        <v>0</v>
      </c>
    </row>
    <row r="58" spans="1:54" ht="14.1" customHeight="1" x14ac:dyDescent="0.25">
      <c r="A58" s="12" t="s">
        <v>53</v>
      </c>
      <c r="B58" s="13">
        <v>219</v>
      </c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5">
        <f>SUM(C58:AZ58)</f>
        <v>0</v>
      </c>
      <c r="BB58" s="13">
        <f>BA58*B58</f>
        <v>0</v>
      </c>
    </row>
    <row r="59" spans="1:54" ht="14.1" customHeight="1" x14ac:dyDescent="0.25">
      <c r="A59" s="12" t="s">
        <v>54</v>
      </c>
      <c r="B59" s="13">
        <v>205</v>
      </c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5">
        <f>SUM(C59:AZ59)</f>
        <v>0</v>
      </c>
      <c r="BB59" s="13">
        <f>BA59*B59</f>
        <v>0</v>
      </c>
    </row>
    <row r="60" spans="1:54" ht="14.1" customHeight="1" x14ac:dyDescent="0.25">
      <c r="A60" s="12" t="s">
        <v>55</v>
      </c>
      <c r="B60" s="13">
        <v>219</v>
      </c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5">
        <f>SUM(C60:AZ60)</f>
        <v>0</v>
      </c>
      <c r="BB60" s="13">
        <f>BA60*B60</f>
        <v>0</v>
      </c>
    </row>
    <row r="61" spans="1:54" ht="14.1" customHeight="1" x14ac:dyDescent="0.25">
      <c r="A61" s="12" t="s">
        <v>56</v>
      </c>
      <c r="B61" s="13">
        <v>205</v>
      </c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5">
        <f>SUM(C61:AZ61)</f>
        <v>0</v>
      </c>
      <c r="BB61" s="13">
        <f>BA61*B61</f>
        <v>0</v>
      </c>
    </row>
    <row r="62" spans="1:54" ht="14.1" customHeight="1" x14ac:dyDescent="0.25">
      <c r="A62" s="12" t="s">
        <v>57</v>
      </c>
      <c r="B62" s="13">
        <v>205</v>
      </c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5">
        <f>SUM(C62:AZ62)</f>
        <v>0</v>
      </c>
      <c r="BB62" s="13">
        <f>BA62*B62</f>
        <v>0</v>
      </c>
    </row>
    <row r="63" spans="1:54" ht="14.1" customHeight="1" x14ac:dyDescent="0.25">
      <c r="A63" s="12" t="s">
        <v>58</v>
      </c>
      <c r="B63" s="13">
        <v>219</v>
      </c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5">
        <f>SUM(C63:AZ63)</f>
        <v>0</v>
      </c>
      <c r="BB63" s="13">
        <f>BA63*B63</f>
        <v>0</v>
      </c>
    </row>
    <row r="64" spans="1:54" ht="14.1" customHeight="1" x14ac:dyDescent="0.25">
      <c r="A64" s="12" t="s">
        <v>59</v>
      </c>
      <c r="B64" s="13">
        <v>219</v>
      </c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5">
        <f>SUM(C64:AZ64)</f>
        <v>0</v>
      </c>
      <c r="BB64" s="13">
        <f>BA64*B64</f>
        <v>0</v>
      </c>
    </row>
    <row r="65" spans="1:54" ht="14.1" customHeight="1" x14ac:dyDescent="0.25">
      <c r="A65" s="12" t="s">
        <v>61</v>
      </c>
      <c r="B65" s="13">
        <v>205</v>
      </c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5">
        <f>SUM(C65:AZ65)</f>
        <v>0</v>
      </c>
      <c r="BB65" s="13">
        <f>BA65*B65</f>
        <v>0</v>
      </c>
    </row>
    <row r="66" spans="1:54" ht="14.1" customHeight="1" x14ac:dyDescent="0.25">
      <c r="A66" s="12" t="s">
        <v>88</v>
      </c>
      <c r="B66" s="13">
        <v>233</v>
      </c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5">
        <f>SUM(C66:AZ66)</f>
        <v>0</v>
      </c>
      <c r="BB66" s="13">
        <f>BA66*B66</f>
        <v>0</v>
      </c>
    </row>
    <row r="67" spans="1:54" ht="14.1" customHeight="1" x14ac:dyDescent="0.25">
      <c r="A67" s="12" t="s">
        <v>89</v>
      </c>
      <c r="B67" s="13">
        <v>156</v>
      </c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5">
        <f>SUM(C67:AZ67)</f>
        <v>0</v>
      </c>
      <c r="BB67" s="13">
        <f>BA67*B67</f>
        <v>0</v>
      </c>
    </row>
    <row r="68" spans="1:54" ht="14.1" customHeight="1" x14ac:dyDescent="0.25">
      <c r="A68" s="12" t="s">
        <v>62</v>
      </c>
      <c r="B68" s="13">
        <v>219</v>
      </c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5">
        <f>SUM(C68:AZ68)</f>
        <v>0</v>
      </c>
      <c r="BB68" s="13">
        <f>BA68*B68</f>
        <v>0</v>
      </c>
    </row>
    <row r="69" spans="1:54" ht="14.1" customHeight="1" x14ac:dyDescent="0.25">
      <c r="A69" s="12" t="s">
        <v>63</v>
      </c>
      <c r="B69" s="13">
        <v>205</v>
      </c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5">
        <f>SUM(C69:AZ69)</f>
        <v>0</v>
      </c>
      <c r="BB69" s="13">
        <f>BA69*B69</f>
        <v>0</v>
      </c>
    </row>
    <row r="70" spans="1:54" ht="14.1" customHeight="1" x14ac:dyDescent="0.25">
      <c r="A70" s="12" t="s">
        <v>64</v>
      </c>
      <c r="B70" s="13">
        <v>226</v>
      </c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5">
        <f>SUM(C70:AZ70)</f>
        <v>0</v>
      </c>
      <c r="BB70" s="13">
        <f>BA70*B70</f>
        <v>0</v>
      </c>
    </row>
    <row r="71" spans="1:54" ht="14.1" customHeight="1" x14ac:dyDescent="0.25">
      <c r="A71" s="12" t="s">
        <v>71</v>
      </c>
      <c r="B71" s="13">
        <v>184</v>
      </c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5">
        <f>SUM(C71:AZ71)</f>
        <v>0</v>
      </c>
      <c r="BB71" s="13">
        <f>BA71*B71</f>
        <v>0</v>
      </c>
    </row>
    <row r="72" spans="1:54" ht="14.1" customHeight="1" x14ac:dyDescent="0.25">
      <c r="A72" s="12" t="s">
        <v>65</v>
      </c>
      <c r="B72" s="13">
        <v>191</v>
      </c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5">
        <f>SUM(C72:AZ72)</f>
        <v>0</v>
      </c>
      <c r="BB72" s="13">
        <f>BA72*B72</f>
        <v>0</v>
      </c>
    </row>
    <row r="73" spans="1:54" ht="14.1" customHeight="1" x14ac:dyDescent="0.25">
      <c r="A73" s="12" t="s">
        <v>66</v>
      </c>
      <c r="B73" s="13">
        <v>212</v>
      </c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5">
        <f>SUM(C73:AZ73)</f>
        <v>0</v>
      </c>
      <c r="BB73" s="13">
        <f>BA73*B73</f>
        <v>0</v>
      </c>
    </row>
    <row r="74" spans="1:54" ht="14.1" customHeight="1" x14ac:dyDescent="0.25">
      <c r="A74" s="12" t="s">
        <v>67</v>
      </c>
      <c r="B74" s="13">
        <v>191</v>
      </c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5">
        <f>SUM(C74:AZ74)</f>
        <v>0</v>
      </c>
      <c r="BB74" s="13">
        <f>BA74*B74</f>
        <v>0</v>
      </c>
    </row>
    <row r="75" spans="1:54" ht="14.1" customHeight="1" x14ac:dyDescent="0.25">
      <c r="A75" s="12" t="s">
        <v>68</v>
      </c>
      <c r="B75" s="13">
        <v>212</v>
      </c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5">
        <f>SUM(C75:AZ75)</f>
        <v>0</v>
      </c>
      <c r="BB75" s="13">
        <f>BA75*B75</f>
        <v>0</v>
      </c>
    </row>
    <row r="76" spans="1:54" ht="14.1" customHeight="1" x14ac:dyDescent="0.25">
      <c r="A76" s="12" t="s">
        <v>69</v>
      </c>
      <c r="B76" s="13">
        <v>212</v>
      </c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5">
        <f>SUM(C76:AZ76)</f>
        <v>0</v>
      </c>
      <c r="BB76" s="13">
        <f>BA76*B76</f>
        <v>0</v>
      </c>
    </row>
    <row r="77" spans="1:54" ht="14.1" customHeight="1" x14ac:dyDescent="0.25">
      <c r="A77" s="12" t="s">
        <v>70</v>
      </c>
      <c r="B77" s="13">
        <v>219</v>
      </c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5">
        <f>SUM(C77:AZ77)</f>
        <v>0</v>
      </c>
      <c r="BB77" s="13">
        <f>BA77*B77</f>
        <v>0</v>
      </c>
    </row>
    <row r="78" spans="1:54" ht="14.1" customHeight="1" x14ac:dyDescent="0.25">
      <c r="A78" s="12" t="s">
        <v>77</v>
      </c>
      <c r="B78" s="13">
        <v>219</v>
      </c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5">
        <f>SUM(C78:AZ78)</f>
        <v>0</v>
      </c>
      <c r="BB78" s="13">
        <f>BA78*B78</f>
        <v>0</v>
      </c>
    </row>
    <row r="79" spans="1:54" ht="14.1" customHeight="1" x14ac:dyDescent="0.25">
      <c r="A79" s="12" t="s">
        <v>75</v>
      </c>
      <c r="B79" s="13">
        <v>205</v>
      </c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5">
        <f>SUM(C79:AZ79)</f>
        <v>0</v>
      </c>
      <c r="BB79" s="13">
        <f>BA79*B79</f>
        <v>0</v>
      </c>
    </row>
    <row r="80" spans="1:54" ht="14.1" customHeight="1" x14ac:dyDescent="0.25">
      <c r="A80" s="12" t="s">
        <v>76</v>
      </c>
      <c r="B80" s="13">
        <v>219</v>
      </c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5">
        <f>SUM(C80:AZ80)</f>
        <v>0</v>
      </c>
      <c r="BB80" s="13">
        <f>BA80*B80</f>
        <v>0</v>
      </c>
    </row>
    <row r="81" spans="1:54" ht="14.1" customHeight="1" x14ac:dyDescent="0.25">
      <c r="A81" s="12" t="s">
        <v>74</v>
      </c>
      <c r="B81" s="13">
        <v>233</v>
      </c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5">
        <f>SUM(C81:AZ81)</f>
        <v>0</v>
      </c>
      <c r="BB81" s="13">
        <f>BA81*B81</f>
        <v>0</v>
      </c>
    </row>
    <row r="82" spans="1:54" ht="14.1" customHeight="1" x14ac:dyDescent="0.25">
      <c r="A82" s="12" t="s">
        <v>78</v>
      </c>
      <c r="B82" s="13">
        <v>273</v>
      </c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5">
        <f>SUM(C82:AZ82)</f>
        <v>0</v>
      </c>
      <c r="BB82" s="13">
        <f>BA82*B82</f>
        <v>0</v>
      </c>
    </row>
    <row r="83" spans="1:54" ht="14.1" customHeight="1" x14ac:dyDescent="0.25">
      <c r="A83" s="12" t="s">
        <v>79</v>
      </c>
      <c r="B83" s="13">
        <v>476</v>
      </c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5">
        <f>SUM(C83:AZ83)</f>
        <v>0</v>
      </c>
      <c r="BB83" s="13">
        <f>BA83*B83</f>
        <v>0</v>
      </c>
    </row>
    <row r="84" spans="1:54" ht="14.1" customHeight="1" x14ac:dyDescent="0.25">
      <c r="A84" s="12" t="s">
        <v>80</v>
      </c>
      <c r="B84" s="13">
        <v>205</v>
      </c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5">
        <f>SUM(C84:AZ84)</f>
        <v>0</v>
      </c>
      <c r="BB84" s="13">
        <f>BA84*B84</f>
        <v>0</v>
      </c>
    </row>
    <row r="85" spans="1:54" ht="14.1" customHeight="1" x14ac:dyDescent="0.25">
      <c r="A85" s="12" t="s">
        <v>81</v>
      </c>
      <c r="B85" s="13">
        <v>245</v>
      </c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5">
        <f>SUM(C85:AZ85)</f>
        <v>0</v>
      </c>
      <c r="BB85" s="13">
        <f>BA85*B85</f>
        <v>0</v>
      </c>
    </row>
    <row r="86" spans="1:54" ht="14.1" customHeight="1" x14ac:dyDescent="0.25">
      <c r="A86" s="12" t="s">
        <v>82</v>
      </c>
      <c r="B86" s="13">
        <v>219</v>
      </c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5">
        <f>SUM(C86:AZ86)</f>
        <v>0</v>
      </c>
      <c r="BB86" s="13">
        <f>BA86*B86</f>
        <v>0</v>
      </c>
    </row>
    <row r="87" spans="1:54" ht="14.1" customHeight="1" x14ac:dyDescent="0.25">
      <c r="A87" s="12" t="s">
        <v>83</v>
      </c>
      <c r="B87" s="13">
        <v>205</v>
      </c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5">
        <f>SUM(C87:AZ87)</f>
        <v>0</v>
      </c>
      <c r="BB87" s="13">
        <f>BA87*B87</f>
        <v>0</v>
      </c>
    </row>
    <row r="88" spans="1:54" ht="14.1" customHeight="1" x14ac:dyDescent="0.25">
      <c r="A88" s="12" t="s">
        <v>84</v>
      </c>
      <c r="B88" s="13">
        <v>224</v>
      </c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5">
        <f>SUM(C88:AZ88)</f>
        <v>0</v>
      </c>
      <c r="BB88" s="13">
        <f>BA88*B88</f>
        <v>0</v>
      </c>
    </row>
    <row r="89" spans="1:54" ht="14.1" customHeight="1" x14ac:dyDescent="0.25">
      <c r="A89" s="12" t="s">
        <v>86</v>
      </c>
      <c r="B89" s="13">
        <v>178</v>
      </c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5">
        <f>SUM(C89:AZ89)</f>
        <v>0</v>
      </c>
      <c r="BB89" s="13">
        <f>BA89*B89</f>
        <v>0</v>
      </c>
    </row>
    <row r="90" spans="1:54" ht="14.1" customHeight="1" x14ac:dyDescent="0.25">
      <c r="A90" s="12" t="s">
        <v>85</v>
      </c>
      <c r="B90" s="13">
        <v>187</v>
      </c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5">
        <f>SUM(C90:AZ90)</f>
        <v>0</v>
      </c>
      <c r="BB90" s="13">
        <f>BA90*B90</f>
        <v>0</v>
      </c>
    </row>
    <row r="91" spans="1:54" ht="14.1" customHeight="1" x14ac:dyDescent="0.25">
      <c r="A91" s="12" t="s">
        <v>87</v>
      </c>
      <c r="B91" s="13">
        <v>191</v>
      </c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5">
        <f>SUM(C91:AZ91)</f>
        <v>0</v>
      </c>
      <c r="BB91" s="13">
        <f>BA91*B91</f>
        <v>0</v>
      </c>
    </row>
    <row r="92" spans="1:54" ht="14.1" customHeight="1" x14ac:dyDescent="0.25">
      <c r="A92" s="12" t="s">
        <v>218</v>
      </c>
      <c r="B92" s="13">
        <v>190</v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5">
        <f>SUM(C92:AZ92)</f>
        <v>0</v>
      </c>
      <c r="BB92" s="13">
        <f>BA92*B92</f>
        <v>0</v>
      </c>
    </row>
    <row r="93" spans="1:54" ht="14.1" customHeight="1" x14ac:dyDescent="0.25">
      <c r="A93" s="12" t="s">
        <v>90</v>
      </c>
      <c r="B93" s="13">
        <v>219</v>
      </c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5">
        <f>SUM(C93:AZ93)</f>
        <v>0</v>
      </c>
      <c r="BB93" s="13">
        <f>BA93*B93</f>
        <v>0</v>
      </c>
    </row>
    <row r="94" spans="1:54" x14ac:dyDescent="0.25">
      <c r="A94" s="10" t="s">
        <v>94</v>
      </c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</row>
    <row r="95" spans="1:54" ht="14.1" customHeight="1" x14ac:dyDescent="0.25">
      <c r="A95" s="12" t="s">
        <v>95</v>
      </c>
      <c r="B95" s="13">
        <v>102</v>
      </c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5">
        <f>SUM(C95:AZ95)</f>
        <v>0</v>
      </c>
      <c r="BB95" s="13">
        <f>BA95*B95</f>
        <v>0</v>
      </c>
    </row>
    <row r="96" spans="1:54" ht="14.1" customHeight="1" x14ac:dyDescent="0.25">
      <c r="A96" s="12" t="s">
        <v>193</v>
      </c>
      <c r="B96" s="13">
        <v>96</v>
      </c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5">
        <f>SUM(C96:AZ96)</f>
        <v>0</v>
      </c>
      <c r="BB96" s="13">
        <f>BA96*B96</f>
        <v>0</v>
      </c>
    </row>
    <row r="97" spans="1:54" ht="14.1" customHeight="1" x14ac:dyDescent="0.25">
      <c r="A97" s="12" t="s">
        <v>219</v>
      </c>
      <c r="B97" s="13">
        <v>110</v>
      </c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5">
        <f>SUM(C97:AZ97)</f>
        <v>0</v>
      </c>
      <c r="BB97" s="13">
        <f>BA97*B97</f>
        <v>0</v>
      </c>
    </row>
    <row r="98" spans="1:54" ht="14.1" customHeight="1" x14ac:dyDescent="0.25">
      <c r="A98" s="12" t="s">
        <v>96</v>
      </c>
      <c r="B98" s="13">
        <v>96</v>
      </c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5">
        <f>SUM(C98:AZ98)</f>
        <v>0</v>
      </c>
      <c r="BB98" s="13">
        <f>BA98*B98</f>
        <v>0</v>
      </c>
    </row>
    <row r="99" spans="1:54" x14ac:dyDescent="0.25">
      <c r="A99" s="10" t="s">
        <v>99</v>
      </c>
      <c r="B99" s="11"/>
      <c r="C99" s="11"/>
      <c r="D99" s="11"/>
      <c r="E99" s="11"/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  <c r="AA99" s="11"/>
      <c r="AB99" s="11"/>
      <c r="AC99" s="11"/>
      <c r="AD99" s="11"/>
      <c r="AE99" s="11"/>
      <c r="AF99" s="11"/>
      <c r="AG99" s="11"/>
      <c r="AH99" s="11"/>
      <c r="AI99" s="11"/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</row>
    <row r="100" spans="1:54" ht="14.1" customHeight="1" x14ac:dyDescent="0.25">
      <c r="A100" s="12" t="s">
        <v>100</v>
      </c>
      <c r="B100" s="13">
        <v>96</v>
      </c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5">
        <f>SUM(C100:AZ100)</f>
        <v>0</v>
      </c>
      <c r="BB100" s="13">
        <f>BA100*B100</f>
        <v>0</v>
      </c>
    </row>
    <row r="101" spans="1:54" ht="14.1" customHeight="1" x14ac:dyDescent="0.25">
      <c r="A101" s="12" t="s">
        <v>102</v>
      </c>
      <c r="B101" s="13">
        <v>98</v>
      </c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5">
        <f>SUM(C101:AZ101)</f>
        <v>0</v>
      </c>
      <c r="BB101" s="13">
        <f>BA101*B101</f>
        <v>0</v>
      </c>
    </row>
    <row r="102" spans="1:54" ht="14.1" customHeight="1" x14ac:dyDescent="0.25">
      <c r="A102" s="12" t="s">
        <v>104</v>
      </c>
      <c r="B102" s="13">
        <v>161</v>
      </c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5">
        <f>SUM(C102:AZ102)</f>
        <v>0</v>
      </c>
      <c r="BB102" s="13">
        <f>BA102*B102</f>
        <v>0</v>
      </c>
    </row>
    <row r="103" spans="1:54" ht="14.1" customHeight="1" x14ac:dyDescent="0.25">
      <c r="A103" s="12" t="s">
        <v>105</v>
      </c>
      <c r="B103" s="13">
        <v>127</v>
      </c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5">
        <f>SUM(C103:AZ103)</f>
        <v>0</v>
      </c>
      <c r="BB103" s="13">
        <f>BA103*B103</f>
        <v>0</v>
      </c>
    </row>
    <row r="104" spans="1:54" ht="14.1" customHeight="1" x14ac:dyDescent="0.25">
      <c r="A104" s="12" t="s">
        <v>103</v>
      </c>
      <c r="B104" s="13">
        <v>140</v>
      </c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5">
        <f>SUM(C104:AZ104)</f>
        <v>0</v>
      </c>
      <c r="BB104" s="13">
        <f>BA104*B104</f>
        <v>0</v>
      </c>
    </row>
    <row r="105" spans="1:54" ht="14.1" customHeight="1" x14ac:dyDescent="0.25">
      <c r="A105" s="12" t="s">
        <v>101</v>
      </c>
      <c r="B105" s="13">
        <v>178</v>
      </c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5">
        <f>SUM(C105:AZ105)</f>
        <v>0</v>
      </c>
      <c r="BB105" s="13">
        <f>BA105*B105</f>
        <v>0</v>
      </c>
    </row>
    <row r="106" spans="1:54" ht="14.1" customHeight="1" x14ac:dyDescent="0.25">
      <c r="A106" s="12" t="s">
        <v>106</v>
      </c>
      <c r="B106" s="13">
        <v>157</v>
      </c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5">
        <f>SUM(C106:AZ106)</f>
        <v>0</v>
      </c>
      <c r="BB106" s="13">
        <f>BA106*B106</f>
        <v>0</v>
      </c>
    </row>
    <row r="107" spans="1:54" ht="14.1" customHeight="1" x14ac:dyDescent="0.25">
      <c r="A107" s="12" t="s">
        <v>107</v>
      </c>
      <c r="B107" s="13">
        <v>178</v>
      </c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5">
        <f>SUM(C107:AZ107)</f>
        <v>0</v>
      </c>
      <c r="BB107" s="13">
        <f>BA107*B107</f>
        <v>0</v>
      </c>
    </row>
    <row r="108" spans="1:54" ht="14.1" customHeight="1" x14ac:dyDescent="0.25">
      <c r="A108" s="12" t="s">
        <v>108</v>
      </c>
      <c r="B108" s="13">
        <v>151</v>
      </c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5">
        <f>SUM(C108:AZ108)</f>
        <v>0</v>
      </c>
      <c r="BB108" s="13">
        <f>BA108*B108</f>
        <v>0</v>
      </c>
    </row>
    <row r="109" spans="1:54" ht="14.1" customHeight="1" x14ac:dyDescent="0.25">
      <c r="A109" s="12" t="s">
        <v>109</v>
      </c>
      <c r="B109" s="13">
        <v>117</v>
      </c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5">
        <f>SUM(C109:AZ109)</f>
        <v>0</v>
      </c>
      <c r="BB109" s="13">
        <f>BA109*B109</f>
        <v>0</v>
      </c>
    </row>
    <row r="110" spans="1:54" ht="14.1" customHeight="1" x14ac:dyDescent="0.25">
      <c r="A110" s="12" t="s">
        <v>110</v>
      </c>
      <c r="B110" s="13">
        <v>151</v>
      </c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5">
        <f>SUM(C110:AZ110)</f>
        <v>0</v>
      </c>
      <c r="BB110" s="13">
        <f>BA110*B110</f>
        <v>0</v>
      </c>
    </row>
    <row r="111" spans="1:54" x14ac:dyDescent="0.25">
      <c r="A111" s="10" t="s">
        <v>111</v>
      </c>
      <c r="B111" s="11"/>
      <c r="C111" s="11"/>
      <c r="D111" s="11"/>
      <c r="E111" s="11"/>
      <c r="F111" s="11"/>
      <c r="G111" s="11"/>
      <c r="H111" s="11"/>
      <c r="I111" s="11"/>
      <c r="J111" s="11"/>
      <c r="K111" s="11"/>
      <c r="L111" s="11"/>
      <c r="M111" s="11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  <c r="AA111" s="11"/>
      <c r="AB111" s="11"/>
      <c r="AC111" s="11"/>
      <c r="AD111" s="11"/>
      <c r="AE111" s="11"/>
      <c r="AF111" s="11"/>
      <c r="AG111" s="11"/>
      <c r="AH111" s="11"/>
      <c r="AI111" s="11"/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</row>
    <row r="112" spans="1:54" ht="14.1" customHeight="1" x14ac:dyDescent="0.25">
      <c r="A112" s="12" t="s">
        <v>112</v>
      </c>
      <c r="B112" s="13">
        <v>164</v>
      </c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5">
        <f>SUM(C112:AZ112)</f>
        <v>0</v>
      </c>
      <c r="BB112" s="13">
        <f>BA112*B112</f>
        <v>0</v>
      </c>
    </row>
    <row r="113" spans="1:54" ht="14.1" customHeight="1" x14ac:dyDescent="0.25">
      <c r="A113" s="12" t="s">
        <v>113</v>
      </c>
      <c r="B113" s="13">
        <v>172</v>
      </c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5">
        <f>SUM(C113:AZ113)</f>
        <v>0</v>
      </c>
      <c r="BB113" s="13">
        <f>BA113*B113</f>
        <v>0</v>
      </c>
    </row>
    <row r="114" spans="1:54" ht="14.1" customHeight="1" x14ac:dyDescent="0.25">
      <c r="A114" s="12" t="s">
        <v>114</v>
      </c>
      <c r="B114" s="13">
        <v>187</v>
      </c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5">
        <f>SUM(C114:AZ114)</f>
        <v>0</v>
      </c>
      <c r="BB114" s="13">
        <f>BA114*B114</f>
        <v>0</v>
      </c>
    </row>
    <row r="115" spans="1:54" ht="14.1" customHeight="1" x14ac:dyDescent="0.25">
      <c r="A115" s="12" t="s">
        <v>115</v>
      </c>
      <c r="B115" s="13">
        <v>164</v>
      </c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5">
        <f>SUM(C115:AZ115)</f>
        <v>0</v>
      </c>
      <c r="BB115" s="13">
        <f>BA115*B115</f>
        <v>0</v>
      </c>
    </row>
    <row r="116" spans="1:54" ht="14.1" customHeight="1" x14ac:dyDescent="0.25">
      <c r="A116" s="12" t="s">
        <v>116</v>
      </c>
      <c r="B116" s="13">
        <v>179</v>
      </c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5">
        <f>SUM(C116:AZ116)</f>
        <v>0</v>
      </c>
      <c r="BB116" s="13">
        <f>BA116*B116</f>
        <v>0</v>
      </c>
    </row>
    <row r="117" spans="1:54" x14ac:dyDescent="0.25">
      <c r="A117" s="10" t="s">
        <v>117</v>
      </c>
      <c r="B117" s="11"/>
      <c r="C117" s="11"/>
      <c r="D117" s="11"/>
      <c r="E117" s="11"/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  <c r="AA117" s="11"/>
      <c r="AB117" s="11"/>
      <c r="AC117" s="11"/>
      <c r="AD117" s="11"/>
      <c r="AE117" s="11"/>
      <c r="AF117" s="11"/>
      <c r="AG117" s="11"/>
      <c r="AH117" s="11"/>
      <c r="AI117" s="11"/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</row>
    <row r="118" spans="1:54" ht="14.1" customHeight="1" x14ac:dyDescent="0.25">
      <c r="A118" s="12" t="s">
        <v>118</v>
      </c>
      <c r="B118" s="13">
        <v>164</v>
      </c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5">
        <f>SUM(C118:AZ118)</f>
        <v>0</v>
      </c>
      <c r="BB118" s="13">
        <f>BA118*B118</f>
        <v>0</v>
      </c>
    </row>
    <row r="119" spans="1:54" ht="14.1" customHeight="1" x14ac:dyDescent="0.25">
      <c r="A119" s="12" t="s">
        <v>119</v>
      </c>
      <c r="B119" s="13">
        <v>149</v>
      </c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5">
        <f>SUM(C119:AZ119)</f>
        <v>0</v>
      </c>
      <c r="BB119" s="13">
        <f>BA119*B119</f>
        <v>0</v>
      </c>
    </row>
    <row r="120" spans="1:54" ht="14.1" customHeight="1" x14ac:dyDescent="0.25">
      <c r="A120" s="12" t="s">
        <v>120</v>
      </c>
      <c r="B120" s="13">
        <v>149</v>
      </c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5">
        <f>SUM(C120:AZ120)</f>
        <v>0</v>
      </c>
      <c r="BB120" s="13">
        <f>BA120*B120</f>
        <v>0</v>
      </c>
    </row>
    <row r="121" spans="1:54" ht="14.1" customHeight="1" x14ac:dyDescent="0.25">
      <c r="A121" s="12" t="s">
        <v>121</v>
      </c>
      <c r="B121" s="13">
        <v>164</v>
      </c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5">
        <f>SUM(C121:AZ121)</f>
        <v>0</v>
      </c>
      <c r="BB121" s="13">
        <f>BA121*B121</f>
        <v>0</v>
      </c>
    </row>
    <row r="122" spans="1:54" ht="14.1" customHeight="1" x14ac:dyDescent="0.25">
      <c r="A122" s="12" t="s">
        <v>122</v>
      </c>
      <c r="B122" s="13">
        <v>164</v>
      </c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5">
        <f>SUM(C122:AZ122)</f>
        <v>0</v>
      </c>
      <c r="BB122" s="13">
        <f>BA122*B122</f>
        <v>0</v>
      </c>
    </row>
    <row r="123" spans="1:54" ht="14.1" customHeight="1" x14ac:dyDescent="0.25">
      <c r="A123" s="12" t="s">
        <v>123</v>
      </c>
      <c r="B123" s="13">
        <v>164</v>
      </c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5">
        <f>SUM(C123:AZ123)</f>
        <v>0</v>
      </c>
      <c r="BB123" s="13">
        <f>BA123*B123</f>
        <v>0</v>
      </c>
    </row>
    <row r="124" spans="1:54" ht="14.1" customHeight="1" x14ac:dyDescent="0.25">
      <c r="A124" s="12" t="s">
        <v>124</v>
      </c>
      <c r="B124" s="13">
        <v>149</v>
      </c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5">
        <f>SUM(C124:AZ124)</f>
        <v>0</v>
      </c>
      <c r="BB124" s="13">
        <f>BA124*B124</f>
        <v>0</v>
      </c>
    </row>
    <row r="125" spans="1:54" ht="14.1" customHeight="1" x14ac:dyDescent="0.25">
      <c r="A125" s="12" t="s">
        <v>125</v>
      </c>
      <c r="B125" s="13">
        <v>194</v>
      </c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5">
        <f>SUM(C125:AZ125)</f>
        <v>0</v>
      </c>
      <c r="BB125" s="13">
        <f>BA125*B125</f>
        <v>0</v>
      </c>
    </row>
    <row r="126" spans="1:54" ht="14.1" customHeight="1" x14ac:dyDescent="0.25">
      <c r="A126" s="12" t="s">
        <v>131</v>
      </c>
      <c r="B126" s="13">
        <v>164</v>
      </c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5">
        <f>SUM(C126:AZ126)</f>
        <v>0</v>
      </c>
      <c r="BB126" s="13">
        <f>BA126*B126</f>
        <v>0</v>
      </c>
    </row>
    <row r="127" spans="1:54" ht="14.1" customHeight="1" x14ac:dyDescent="0.25">
      <c r="A127" s="12" t="s">
        <v>126</v>
      </c>
      <c r="B127" s="13">
        <v>164</v>
      </c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5">
        <f>SUM(C127:AZ127)</f>
        <v>0</v>
      </c>
      <c r="BB127" s="13">
        <f>BA127*B127</f>
        <v>0</v>
      </c>
    </row>
    <row r="128" spans="1:54" ht="14.1" customHeight="1" x14ac:dyDescent="0.25">
      <c r="A128" s="12" t="s">
        <v>127</v>
      </c>
      <c r="B128" s="13">
        <v>164</v>
      </c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5">
        <f>SUM(C128:AZ128)</f>
        <v>0</v>
      </c>
      <c r="BB128" s="13">
        <f>BA128*B128</f>
        <v>0</v>
      </c>
    </row>
    <row r="129" spans="1:54" ht="14.1" customHeight="1" x14ac:dyDescent="0.25">
      <c r="A129" s="12" t="s">
        <v>128</v>
      </c>
      <c r="B129" s="13">
        <v>283</v>
      </c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5">
        <f>SUM(C129:AZ129)</f>
        <v>0</v>
      </c>
      <c r="BB129" s="13">
        <f>BA129*B129</f>
        <v>0</v>
      </c>
    </row>
    <row r="130" spans="1:54" ht="14.1" customHeight="1" x14ac:dyDescent="0.25">
      <c r="A130" s="12" t="s">
        <v>129</v>
      </c>
      <c r="B130" s="13">
        <v>142</v>
      </c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5">
        <f>SUM(C130:AZ130)</f>
        <v>0</v>
      </c>
      <c r="BB130" s="13">
        <f>BA130*B130</f>
        <v>0</v>
      </c>
    </row>
    <row r="131" spans="1:54" ht="14.1" customHeight="1" x14ac:dyDescent="0.25">
      <c r="A131" s="12" t="s">
        <v>130</v>
      </c>
      <c r="B131" s="13">
        <v>194</v>
      </c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5">
        <f>SUM(C131:AZ131)</f>
        <v>0</v>
      </c>
      <c r="BB131" s="13">
        <f>BA131*B131</f>
        <v>0</v>
      </c>
    </row>
    <row r="132" spans="1:54" ht="14.1" customHeight="1" x14ac:dyDescent="0.25">
      <c r="A132" s="12" t="s">
        <v>132</v>
      </c>
      <c r="B132" s="13">
        <v>164</v>
      </c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5">
        <f>SUM(C132:AZ132)</f>
        <v>0</v>
      </c>
      <c r="BB132" s="13">
        <f>BA132*B132</f>
        <v>0</v>
      </c>
    </row>
    <row r="133" spans="1:54" ht="14.1" customHeight="1" x14ac:dyDescent="0.25">
      <c r="A133" s="12" t="s">
        <v>135</v>
      </c>
      <c r="B133" s="13">
        <v>230</v>
      </c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5">
        <f>SUM(C133:AZ133)</f>
        <v>0</v>
      </c>
      <c r="BB133" s="13">
        <f>BA133*B133</f>
        <v>0</v>
      </c>
    </row>
    <row r="134" spans="1:54" ht="14.1" customHeight="1" x14ac:dyDescent="0.25">
      <c r="A134" s="12" t="s">
        <v>133</v>
      </c>
      <c r="B134" s="13">
        <v>239</v>
      </c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5">
        <f>SUM(C134:AZ134)</f>
        <v>0</v>
      </c>
      <c r="BB134" s="13">
        <f>BA134*B134</f>
        <v>0</v>
      </c>
    </row>
    <row r="135" spans="1:54" ht="14.1" customHeight="1" x14ac:dyDescent="0.25">
      <c r="A135" s="12" t="s">
        <v>134</v>
      </c>
      <c r="B135" s="13">
        <v>207</v>
      </c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5">
        <f>SUM(C135:AZ135)</f>
        <v>0</v>
      </c>
      <c r="BB135" s="13">
        <f>BA135*B135</f>
        <v>0</v>
      </c>
    </row>
    <row r="136" spans="1:54" x14ac:dyDescent="0.25">
      <c r="A136" s="10" t="s">
        <v>136</v>
      </c>
      <c r="B136" s="11"/>
      <c r="C136" s="11"/>
      <c r="D136" s="11"/>
      <c r="E136" s="11"/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</row>
    <row r="137" spans="1:54" ht="14.1" customHeight="1" x14ac:dyDescent="0.25">
      <c r="A137" s="12" t="s">
        <v>137</v>
      </c>
      <c r="B137" s="13">
        <v>72</v>
      </c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5">
        <f>SUM(C137:AZ137)</f>
        <v>0</v>
      </c>
      <c r="BB137" s="13">
        <f>BA137*B137</f>
        <v>0</v>
      </c>
    </row>
    <row r="138" spans="1:54" ht="14.1" customHeight="1" x14ac:dyDescent="0.25">
      <c r="A138" s="12" t="s">
        <v>138</v>
      </c>
      <c r="B138" s="13">
        <v>63</v>
      </c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5">
        <f>SUM(C138:AZ138)</f>
        <v>0</v>
      </c>
      <c r="BB138" s="13">
        <f>BA138*B138</f>
        <v>0</v>
      </c>
    </row>
    <row r="139" spans="1:54" ht="14.1" customHeight="1" x14ac:dyDescent="0.25">
      <c r="A139" s="12" t="s">
        <v>139</v>
      </c>
      <c r="B139" s="13">
        <v>86</v>
      </c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5">
        <f>SUM(C139:AZ139)</f>
        <v>0</v>
      </c>
      <c r="BB139" s="13">
        <f>BA139*B139</f>
        <v>0</v>
      </c>
    </row>
    <row r="140" spans="1:54" ht="14.1" customHeight="1" x14ac:dyDescent="0.25">
      <c r="A140" s="12" t="s">
        <v>140</v>
      </c>
      <c r="B140" s="13">
        <v>72</v>
      </c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5">
        <f>SUM(C140:AZ140)</f>
        <v>0</v>
      </c>
      <c r="BB140" s="13">
        <f>BA140*B140</f>
        <v>0</v>
      </c>
    </row>
    <row r="141" spans="1:54" ht="14.1" customHeight="1" x14ac:dyDescent="0.25">
      <c r="A141" s="12" t="s">
        <v>141</v>
      </c>
      <c r="B141" s="13">
        <v>72</v>
      </c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5">
        <f>SUM(C141:AZ141)</f>
        <v>0</v>
      </c>
      <c r="BB141" s="13">
        <f>BA141*B141</f>
        <v>0</v>
      </c>
    </row>
    <row r="142" spans="1:54" ht="14.1" customHeight="1" x14ac:dyDescent="0.25">
      <c r="A142" s="12" t="s">
        <v>159</v>
      </c>
      <c r="B142" s="13">
        <v>151</v>
      </c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5">
        <f>SUM(C142:AZ142)</f>
        <v>0</v>
      </c>
      <c r="BB142" s="13">
        <f>BA142*B142</f>
        <v>0</v>
      </c>
    </row>
    <row r="143" spans="1:54" ht="14.1" customHeight="1" x14ac:dyDescent="0.25">
      <c r="A143" s="12" t="s">
        <v>142</v>
      </c>
      <c r="B143" s="13">
        <v>76</v>
      </c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5">
        <f>SUM(C143:AZ143)</f>
        <v>0</v>
      </c>
      <c r="BB143" s="13">
        <f>BA143*B143</f>
        <v>0</v>
      </c>
    </row>
    <row r="144" spans="1:54" ht="14.1" customHeight="1" x14ac:dyDescent="0.25">
      <c r="A144" s="12" t="s">
        <v>143</v>
      </c>
      <c r="B144" s="13">
        <v>72</v>
      </c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5">
        <f>SUM(C144:AZ144)</f>
        <v>0</v>
      </c>
      <c r="BB144" s="13">
        <f>BA144*B144</f>
        <v>0</v>
      </c>
    </row>
    <row r="145" spans="1:54" ht="14.1" customHeight="1" x14ac:dyDescent="0.25">
      <c r="A145" s="12" t="s">
        <v>144</v>
      </c>
      <c r="B145" s="13">
        <v>72</v>
      </c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5">
        <f>SUM(C145:AZ145)</f>
        <v>0</v>
      </c>
      <c r="BB145" s="13">
        <f>BA145*B145</f>
        <v>0</v>
      </c>
    </row>
    <row r="146" spans="1:54" ht="14.1" customHeight="1" x14ac:dyDescent="0.25">
      <c r="A146" s="12" t="s">
        <v>146</v>
      </c>
      <c r="B146" s="13">
        <v>86</v>
      </c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5">
        <f>SUM(C146:AZ146)</f>
        <v>0</v>
      </c>
      <c r="BB146" s="13">
        <f>BA146*B146</f>
        <v>0</v>
      </c>
    </row>
    <row r="147" spans="1:54" ht="14.1" customHeight="1" x14ac:dyDescent="0.25">
      <c r="A147" s="12" t="s">
        <v>148</v>
      </c>
      <c r="B147" s="13">
        <v>151</v>
      </c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5">
        <f>SUM(C147:AZ147)</f>
        <v>0</v>
      </c>
      <c r="BB147" s="13">
        <f>BA147*B147</f>
        <v>0</v>
      </c>
    </row>
    <row r="148" spans="1:54" ht="14.1" customHeight="1" x14ac:dyDescent="0.25">
      <c r="A148" s="12" t="s">
        <v>147</v>
      </c>
      <c r="B148" s="13">
        <v>137</v>
      </c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5">
        <f>SUM(C148:AZ148)</f>
        <v>0</v>
      </c>
      <c r="BB148" s="13">
        <f>BA148*B148</f>
        <v>0</v>
      </c>
    </row>
    <row r="149" spans="1:54" ht="14.1" customHeight="1" x14ac:dyDescent="0.25">
      <c r="A149" s="12" t="s">
        <v>155</v>
      </c>
      <c r="B149" s="13">
        <v>137</v>
      </c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5">
        <f>SUM(C149:AZ149)</f>
        <v>0</v>
      </c>
      <c r="BB149" s="13">
        <f>BA149*B149</f>
        <v>0</v>
      </c>
    </row>
    <row r="150" spans="1:54" ht="14.1" customHeight="1" x14ac:dyDescent="0.25">
      <c r="A150" s="12" t="s">
        <v>145</v>
      </c>
      <c r="B150" s="13">
        <v>103</v>
      </c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5">
        <f>SUM(C150:AZ150)</f>
        <v>0</v>
      </c>
      <c r="BB150" s="13">
        <f>BA150*B150</f>
        <v>0</v>
      </c>
    </row>
    <row r="151" spans="1:54" ht="14.1" customHeight="1" x14ac:dyDescent="0.25">
      <c r="A151" s="12" t="s">
        <v>149</v>
      </c>
      <c r="B151" s="13">
        <v>157</v>
      </c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5">
        <f>SUM(C151:AZ151)</f>
        <v>0</v>
      </c>
      <c r="BB151" s="13">
        <f>BA151*B151</f>
        <v>0</v>
      </c>
    </row>
    <row r="152" spans="1:54" ht="14.1" customHeight="1" x14ac:dyDescent="0.25">
      <c r="A152" s="12" t="s">
        <v>150</v>
      </c>
      <c r="B152" s="13">
        <v>137</v>
      </c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5">
        <f>SUM(C152:AZ152)</f>
        <v>0</v>
      </c>
      <c r="BB152" s="13">
        <f>BA152*B152</f>
        <v>0</v>
      </c>
    </row>
    <row r="153" spans="1:54" ht="14.1" customHeight="1" x14ac:dyDescent="0.25">
      <c r="A153" s="12" t="s">
        <v>151</v>
      </c>
      <c r="B153" s="13">
        <v>69</v>
      </c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5">
        <f>SUM(C153:AZ153)</f>
        <v>0</v>
      </c>
      <c r="BB153" s="13">
        <f>BA153*B153</f>
        <v>0</v>
      </c>
    </row>
    <row r="154" spans="1:54" ht="14.1" customHeight="1" x14ac:dyDescent="0.25">
      <c r="A154" s="12" t="s">
        <v>152</v>
      </c>
      <c r="B154" s="13">
        <v>75</v>
      </c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5">
        <f>SUM(C154:AZ154)</f>
        <v>0</v>
      </c>
      <c r="BB154" s="13">
        <f>BA154*B154</f>
        <v>0</v>
      </c>
    </row>
    <row r="155" spans="1:54" ht="14.1" customHeight="1" x14ac:dyDescent="0.25">
      <c r="A155" s="12" t="s">
        <v>153</v>
      </c>
      <c r="B155" s="13">
        <v>69</v>
      </c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5">
        <f>SUM(C155:AZ155)</f>
        <v>0</v>
      </c>
      <c r="BB155" s="13">
        <f>BA155*B155</f>
        <v>0</v>
      </c>
    </row>
    <row r="156" spans="1:54" ht="14.1" customHeight="1" x14ac:dyDescent="0.25">
      <c r="A156" s="12" t="s">
        <v>154</v>
      </c>
      <c r="B156" s="13">
        <v>75</v>
      </c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5">
        <f>SUM(C156:AZ156)</f>
        <v>0</v>
      </c>
      <c r="BB156" s="13">
        <f>BA156*B156</f>
        <v>0</v>
      </c>
    </row>
    <row r="157" spans="1:54" ht="14.1" customHeight="1" x14ac:dyDescent="0.25">
      <c r="A157" s="12" t="s">
        <v>156</v>
      </c>
      <c r="B157" s="13">
        <v>99</v>
      </c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5">
        <f>SUM(C157:AZ157)</f>
        <v>0</v>
      </c>
      <c r="BB157" s="13">
        <f>BA157*B157</f>
        <v>0</v>
      </c>
    </row>
    <row r="158" spans="1:54" ht="14.1" customHeight="1" x14ac:dyDescent="0.25">
      <c r="A158" s="12" t="s">
        <v>157</v>
      </c>
      <c r="B158" s="13">
        <v>144</v>
      </c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5">
        <f>SUM(C158:AZ158)</f>
        <v>0</v>
      </c>
      <c r="BB158" s="13">
        <f>BA158*B158</f>
        <v>0</v>
      </c>
    </row>
    <row r="159" spans="1:54" ht="14.1" customHeight="1" x14ac:dyDescent="0.25">
      <c r="A159" s="12" t="s">
        <v>158</v>
      </c>
      <c r="B159" s="13">
        <v>152</v>
      </c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5">
        <f>SUM(C159:AZ159)</f>
        <v>0</v>
      </c>
      <c r="BB159" s="13">
        <f>BA159*B159</f>
        <v>0</v>
      </c>
    </row>
    <row r="160" spans="1:54" x14ac:dyDescent="0.25">
      <c r="A160" s="10" t="s">
        <v>160</v>
      </c>
      <c r="B160" s="11"/>
      <c r="C160" s="11"/>
      <c r="D160" s="11"/>
      <c r="E160" s="11"/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</row>
    <row r="161" spans="1:54" ht="14.1" customHeight="1" x14ac:dyDescent="0.25">
      <c r="A161" s="12" t="s">
        <v>161</v>
      </c>
      <c r="B161" s="13">
        <v>46</v>
      </c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5">
        <f>SUM(C161:AZ161)</f>
        <v>0</v>
      </c>
      <c r="BB161" s="13">
        <f>BA161*B161</f>
        <v>0</v>
      </c>
    </row>
    <row r="162" spans="1:54" ht="14.1" customHeight="1" x14ac:dyDescent="0.25">
      <c r="A162" s="12" t="s">
        <v>162</v>
      </c>
      <c r="B162" s="13">
        <v>46</v>
      </c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5">
        <f>SUM(C162:AZ162)</f>
        <v>0</v>
      </c>
      <c r="BB162" s="13">
        <f>BA162*B162</f>
        <v>0</v>
      </c>
    </row>
    <row r="163" spans="1:54" ht="14.1" customHeight="1" x14ac:dyDescent="0.25">
      <c r="A163" s="12" t="s">
        <v>163</v>
      </c>
      <c r="B163" s="13">
        <v>57</v>
      </c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5">
        <f>SUM(C163:AZ163)</f>
        <v>0</v>
      </c>
      <c r="BB163" s="13">
        <f>BA163*B163</f>
        <v>0</v>
      </c>
    </row>
    <row r="164" spans="1:54" ht="14.1" customHeight="1" x14ac:dyDescent="0.25">
      <c r="A164" s="12" t="s">
        <v>164</v>
      </c>
      <c r="B164" s="13">
        <v>57</v>
      </c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5">
        <f>SUM(C164:AZ164)</f>
        <v>0</v>
      </c>
      <c r="BB164" s="13">
        <f>BA164*B164</f>
        <v>0</v>
      </c>
    </row>
    <row r="165" spans="1:54" ht="14.1" customHeight="1" x14ac:dyDescent="0.25">
      <c r="A165" s="12" t="s">
        <v>165</v>
      </c>
      <c r="B165" s="13">
        <v>57</v>
      </c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5">
        <f>SUM(C165:AZ165)</f>
        <v>0</v>
      </c>
      <c r="BB165" s="13">
        <f>BA165*B165</f>
        <v>0</v>
      </c>
    </row>
    <row r="166" spans="1:54" ht="14.1" customHeight="1" x14ac:dyDescent="0.25">
      <c r="A166" s="12" t="s">
        <v>166</v>
      </c>
      <c r="B166" s="13">
        <v>97</v>
      </c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5">
        <f>SUM(C166:AZ166)</f>
        <v>0</v>
      </c>
      <c r="BB166" s="13">
        <f>BA166*B166</f>
        <v>0</v>
      </c>
    </row>
    <row r="167" spans="1:54" ht="14.1" customHeight="1" x14ac:dyDescent="0.25">
      <c r="A167" s="12" t="s">
        <v>167</v>
      </c>
      <c r="B167" s="13">
        <v>77</v>
      </c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5">
        <f>SUM(C167:AZ167)</f>
        <v>0</v>
      </c>
      <c r="BB167" s="13">
        <f>BA167*B167</f>
        <v>0</v>
      </c>
    </row>
    <row r="168" spans="1:54" ht="14.1" customHeight="1" x14ac:dyDescent="0.25">
      <c r="A168" s="12" t="s">
        <v>169</v>
      </c>
      <c r="B168" s="13">
        <v>39</v>
      </c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5">
        <f>SUM(C168:AZ168)</f>
        <v>0</v>
      </c>
      <c r="BB168" s="13">
        <f>BA168*B168</f>
        <v>0</v>
      </c>
    </row>
    <row r="169" spans="1:54" ht="14.1" customHeight="1" x14ac:dyDescent="0.25">
      <c r="A169" s="12" t="s">
        <v>170</v>
      </c>
      <c r="B169" s="13">
        <v>39</v>
      </c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5">
        <f>SUM(C169:AZ169)</f>
        <v>0</v>
      </c>
      <c r="BB169" s="13">
        <f>BA169*B169</f>
        <v>0</v>
      </c>
    </row>
    <row r="170" spans="1:54" ht="14.1" customHeight="1" x14ac:dyDescent="0.25">
      <c r="A170" s="12" t="s">
        <v>171</v>
      </c>
      <c r="B170" s="13">
        <v>39</v>
      </c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5">
        <f>SUM(C170:AZ170)</f>
        <v>0</v>
      </c>
      <c r="BB170" s="13">
        <f>BA170*B170</f>
        <v>0</v>
      </c>
    </row>
    <row r="171" spans="1:54" ht="14.1" customHeight="1" x14ac:dyDescent="0.25">
      <c r="A171" s="12" t="s">
        <v>172</v>
      </c>
      <c r="B171" s="13">
        <v>39</v>
      </c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5">
        <f>SUM(C171:AZ171)</f>
        <v>0</v>
      </c>
      <c r="BB171" s="13">
        <f>BA171*B171</f>
        <v>0</v>
      </c>
    </row>
    <row r="172" spans="1:54" ht="14.1" customHeight="1" x14ac:dyDescent="0.25">
      <c r="A172" s="12" t="s">
        <v>173</v>
      </c>
      <c r="B172" s="13">
        <v>76</v>
      </c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5">
        <f>SUM(C172:AZ172)</f>
        <v>0</v>
      </c>
      <c r="BB172" s="13">
        <f>BA172*B172</f>
        <v>0</v>
      </c>
    </row>
    <row r="173" spans="1:54" ht="14.1" customHeight="1" x14ac:dyDescent="0.25">
      <c r="A173" s="12" t="s">
        <v>174</v>
      </c>
      <c r="B173" s="13">
        <v>76</v>
      </c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5">
        <f>SUM(C173:AZ173)</f>
        <v>0</v>
      </c>
      <c r="BB173" s="13">
        <f>BA173*B173</f>
        <v>0</v>
      </c>
    </row>
    <row r="174" spans="1:54" ht="14.1" customHeight="1" x14ac:dyDescent="0.25">
      <c r="A174" s="12" t="s">
        <v>175</v>
      </c>
      <c r="B174" s="13">
        <v>76</v>
      </c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5">
        <f>SUM(C174:AZ174)</f>
        <v>0</v>
      </c>
      <c r="BB174" s="13">
        <f>BA174*B174</f>
        <v>0</v>
      </c>
    </row>
    <row r="175" spans="1:54" ht="14.1" customHeight="1" x14ac:dyDescent="0.25">
      <c r="A175" s="12" t="s">
        <v>178</v>
      </c>
      <c r="B175" s="13">
        <v>7</v>
      </c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5">
        <f>SUM(C175:AZ175)</f>
        <v>0</v>
      </c>
      <c r="BB175" s="13">
        <f>BA175*B175</f>
        <v>0</v>
      </c>
    </row>
    <row r="176" spans="1:54" ht="14.1" customHeight="1" x14ac:dyDescent="0.25">
      <c r="A176" s="12" t="s">
        <v>179</v>
      </c>
      <c r="B176" s="13">
        <v>7</v>
      </c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5">
        <f>SUM(C176:AZ176)</f>
        <v>0</v>
      </c>
      <c r="BB176" s="13">
        <f>BA176*B176</f>
        <v>0</v>
      </c>
    </row>
    <row r="177" spans="1:54" ht="14.1" customHeight="1" x14ac:dyDescent="0.25">
      <c r="A177" s="12" t="s">
        <v>176</v>
      </c>
      <c r="B177" s="13">
        <v>4</v>
      </c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5">
        <f>SUM(C177:AZ177)</f>
        <v>0</v>
      </c>
      <c r="BB177" s="13">
        <f>BA177*B177</f>
        <v>0</v>
      </c>
    </row>
    <row r="178" spans="1:54" ht="14.1" customHeight="1" x14ac:dyDescent="0.25">
      <c r="A178" s="12" t="s">
        <v>177</v>
      </c>
      <c r="B178" s="13">
        <v>4</v>
      </c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5">
        <f>SUM(C178:AZ178)</f>
        <v>0</v>
      </c>
      <c r="BB178" s="13">
        <f>BA178*B178</f>
        <v>0</v>
      </c>
    </row>
    <row r="179" spans="1:54" ht="14.1" customHeight="1" thickBot="1" x14ac:dyDescent="0.3">
      <c r="A179" s="16" t="s">
        <v>180</v>
      </c>
      <c r="B179" s="18"/>
      <c r="C179" s="11"/>
      <c r="D179" s="11"/>
      <c r="E179" s="11"/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</row>
    <row r="180" spans="1:54" ht="14.1" customHeight="1" x14ac:dyDescent="0.25">
      <c r="A180" s="17" t="s">
        <v>181</v>
      </c>
      <c r="B180" s="19">
        <v>296</v>
      </c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20">
        <f>SUM(C180:AZ180)</f>
        <v>0</v>
      </c>
      <c r="BB180" s="21">
        <f>BA180*B180</f>
        <v>0</v>
      </c>
    </row>
    <row r="181" spans="1:54" ht="14.1" customHeight="1" x14ac:dyDescent="0.25">
      <c r="A181" s="22" t="s">
        <v>182</v>
      </c>
      <c r="B181" s="23"/>
      <c r="C181" s="26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</row>
    <row r="182" spans="1:54" ht="14.1" customHeight="1" x14ac:dyDescent="0.25">
      <c r="A182" s="24" t="s">
        <v>214</v>
      </c>
      <c r="B182" s="25"/>
      <c r="C182" s="27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</row>
    <row r="183" spans="1:54" ht="14.1" customHeight="1" thickBot="1" x14ac:dyDescent="0.3">
      <c r="A183" s="28" t="s">
        <v>109</v>
      </c>
      <c r="B183" s="29"/>
      <c r="C183" s="27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</row>
    <row r="184" spans="1:54" ht="14.1" customHeight="1" x14ac:dyDescent="0.25">
      <c r="A184" s="17" t="s">
        <v>183</v>
      </c>
      <c r="B184" s="19">
        <v>395</v>
      </c>
      <c r="C184" s="14"/>
      <c r="D184" s="14"/>
      <c r="E184" s="14"/>
      <c r="F184" s="14"/>
      <c r="G184" s="14"/>
      <c r="H184" s="14"/>
      <c r="I184" s="14"/>
      <c r="J184" s="14"/>
      <c r="K184" s="14"/>
      <c r="L184" s="14"/>
      <c r="M184" s="14"/>
      <c r="N184" s="14"/>
      <c r="O184" s="14"/>
      <c r="P184" s="14"/>
      <c r="Q184" s="14"/>
      <c r="R184" s="14"/>
      <c r="S184" s="14"/>
      <c r="T184" s="14"/>
      <c r="U184" s="14"/>
      <c r="V184" s="14"/>
      <c r="W184" s="14"/>
      <c r="X184" s="14"/>
      <c r="Y184" s="14"/>
      <c r="Z184" s="14"/>
      <c r="AA184" s="14"/>
      <c r="AB184" s="14"/>
      <c r="AC184" s="14"/>
      <c r="AD184" s="14"/>
      <c r="AE184" s="14"/>
      <c r="AF184" s="14"/>
      <c r="AG184" s="14"/>
      <c r="AH184" s="14"/>
      <c r="AI184" s="14"/>
      <c r="AJ184" s="14"/>
      <c r="AK184" s="14"/>
      <c r="AL184" s="14"/>
      <c r="AM184" s="14"/>
      <c r="AN184" s="14"/>
      <c r="AO184" s="14"/>
      <c r="AP184" s="14"/>
      <c r="AQ184" s="14"/>
      <c r="AR184" s="14"/>
      <c r="AS184" s="14"/>
      <c r="AT184" s="14"/>
      <c r="AU184" s="14"/>
      <c r="AV184" s="14"/>
      <c r="AW184" s="14"/>
      <c r="AX184" s="14"/>
      <c r="AY184" s="14"/>
      <c r="AZ184" s="14"/>
      <c r="BA184" s="20">
        <f>SUM(C184:AZ184)</f>
        <v>0</v>
      </c>
      <c r="BB184" s="21">
        <f>BA184*B184</f>
        <v>0</v>
      </c>
    </row>
    <row r="185" spans="1:54" ht="14.1" customHeight="1" x14ac:dyDescent="0.25">
      <c r="A185" s="22" t="s">
        <v>215</v>
      </c>
      <c r="B185" s="23"/>
      <c r="C185" s="26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</row>
    <row r="186" spans="1:54" ht="14.1" customHeight="1" x14ac:dyDescent="0.25">
      <c r="A186" s="24" t="s">
        <v>75</v>
      </c>
      <c r="B186" s="25"/>
      <c r="C186" s="27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</row>
    <row r="187" spans="1:54" ht="14.1" customHeight="1" thickBot="1" x14ac:dyDescent="0.3">
      <c r="A187" s="28" t="s">
        <v>14</v>
      </c>
      <c r="B187" s="29"/>
      <c r="C187" s="27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</row>
    <row r="188" spans="1:54" ht="14.1" customHeight="1" x14ac:dyDescent="0.25">
      <c r="A188" s="17" t="s">
        <v>186</v>
      </c>
      <c r="B188" s="19">
        <v>461</v>
      </c>
      <c r="C188" s="14"/>
      <c r="D188" s="14"/>
      <c r="E188" s="14"/>
      <c r="F188" s="14"/>
      <c r="G188" s="14"/>
      <c r="H188" s="14"/>
      <c r="I188" s="14"/>
      <c r="J188" s="14"/>
      <c r="K188" s="14"/>
      <c r="L188" s="14"/>
      <c r="M188" s="14"/>
      <c r="N188" s="14"/>
      <c r="O188" s="14"/>
      <c r="P188" s="14"/>
      <c r="Q188" s="14"/>
      <c r="R188" s="14"/>
      <c r="S188" s="14"/>
      <c r="T188" s="14"/>
      <c r="U188" s="14"/>
      <c r="V188" s="14"/>
      <c r="W188" s="14"/>
      <c r="X188" s="14"/>
      <c r="Y188" s="14"/>
      <c r="Z188" s="14"/>
      <c r="AA188" s="14"/>
      <c r="AB188" s="14"/>
      <c r="AC188" s="14"/>
      <c r="AD188" s="14"/>
      <c r="AE188" s="14"/>
      <c r="AF188" s="14"/>
      <c r="AG188" s="14"/>
      <c r="AH188" s="14"/>
      <c r="AI188" s="14"/>
      <c r="AJ188" s="14"/>
      <c r="AK188" s="14"/>
      <c r="AL188" s="14"/>
      <c r="AM188" s="14"/>
      <c r="AN188" s="14"/>
      <c r="AO188" s="14"/>
      <c r="AP188" s="14"/>
      <c r="AQ188" s="14"/>
      <c r="AR188" s="14"/>
      <c r="AS188" s="14"/>
      <c r="AT188" s="14"/>
      <c r="AU188" s="14"/>
      <c r="AV188" s="14"/>
      <c r="AW188" s="14"/>
      <c r="AX188" s="14"/>
      <c r="AY188" s="14"/>
      <c r="AZ188" s="14"/>
      <c r="BA188" s="20">
        <f>SUM(C188:AZ188)</f>
        <v>0</v>
      </c>
      <c r="BB188" s="21">
        <f>BA188*B188</f>
        <v>0</v>
      </c>
    </row>
    <row r="189" spans="1:54" ht="14.1" customHeight="1" x14ac:dyDescent="0.25">
      <c r="A189" s="22" t="s">
        <v>215</v>
      </c>
      <c r="B189" s="23"/>
      <c r="C189" s="26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</row>
    <row r="190" spans="1:54" ht="14.1" customHeight="1" x14ac:dyDescent="0.25">
      <c r="A190" s="24" t="s">
        <v>75</v>
      </c>
      <c r="B190" s="25"/>
      <c r="C190" s="27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</row>
    <row r="191" spans="1:54" ht="14.1" customHeight="1" x14ac:dyDescent="0.25">
      <c r="A191" s="24" t="s">
        <v>14</v>
      </c>
      <c r="B191" s="25"/>
      <c r="C191" s="27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</row>
    <row r="192" spans="1:54" ht="14.1" customHeight="1" thickBot="1" x14ac:dyDescent="0.3">
      <c r="A192" s="28" t="s">
        <v>220</v>
      </c>
      <c r="B192" s="29"/>
      <c r="C192" s="27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</row>
    <row r="193" spans="1:54" ht="14.1" customHeight="1" x14ac:dyDescent="0.25">
      <c r="A193" s="17" t="s">
        <v>188</v>
      </c>
      <c r="B193" s="19">
        <v>432</v>
      </c>
      <c r="C193" s="14"/>
      <c r="D193" s="14"/>
      <c r="E193" s="14"/>
      <c r="F193" s="14"/>
      <c r="G193" s="14"/>
      <c r="H193" s="14"/>
      <c r="I193" s="14"/>
      <c r="J193" s="14"/>
      <c r="K193" s="14"/>
      <c r="L193" s="14"/>
      <c r="M193" s="14"/>
      <c r="N193" s="14"/>
      <c r="O193" s="14"/>
      <c r="P193" s="14"/>
      <c r="Q193" s="14"/>
      <c r="R193" s="14"/>
      <c r="S193" s="14"/>
      <c r="T193" s="14"/>
      <c r="U193" s="14"/>
      <c r="V193" s="14"/>
      <c r="W193" s="14"/>
      <c r="X193" s="14"/>
      <c r="Y193" s="14"/>
      <c r="Z193" s="14"/>
      <c r="AA193" s="14"/>
      <c r="AB193" s="14"/>
      <c r="AC193" s="14"/>
      <c r="AD193" s="14"/>
      <c r="AE193" s="14"/>
      <c r="AF193" s="14"/>
      <c r="AG193" s="14"/>
      <c r="AH193" s="14"/>
      <c r="AI193" s="14"/>
      <c r="AJ193" s="14"/>
      <c r="AK193" s="14"/>
      <c r="AL193" s="14"/>
      <c r="AM193" s="14"/>
      <c r="AN193" s="14"/>
      <c r="AO193" s="14"/>
      <c r="AP193" s="14"/>
      <c r="AQ193" s="14"/>
      <c r="AR193" s="14"/>
      <c r="AS193" s="14"/>
      <c r="AT193" s="14"/>
      <c r="AU193" s="14"/>
      <c r="AV193" s="14"/>
      <c r="AW193" s="14"/>
      <c r="AX193" s="14"/>
      <c r="AY193" s="14"/>
      <c r="AZ193" s="14"/>
      <c r="BA193" s="20">
        <f>SUM(C193:AZ193)</f>
        <v>0</v>
      </c>
      <c r="BB193" s="21">
        <f>BA193*B193</f>
        <v>0</v>
      </c>
    </row>
    <row r="194" spans="1:54" ht="14.1" customHeight="1" x14ac:dyDescent="0.25">
      <c r="A194" s="22" t="s">
        <v>216</v>
      </c>
      <c r="B194" s="23"/>
      <c r="C194" s="26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</row>
    <row r="195" spans="1:54" ht="14.1" customHeight="1" x14ac:dyDescent="0.25">
      <c r="A195" s="24" t="s">
        <v>59</v>
      </c>
      <c r="B195" s="25"/>
      <c r="C195" s="27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</row>
    <row r="196" spans="1:54" ht="14.1" customHeight="1" thickBot="1" x14ac:dyDescent="0.3">
      <c r="A196" s="28" t="s">
        <v>17</v>
      </c>
      <c r="B196" s="29"/>
      <c r="C196" s="27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</row>
    <row r="197" spans="1:54" ht="14.1" customHeight="1" x14ac:dyDescent="0.25">
      <c r="A197" s="17" t="s">
        <v>189</v>
      </c>
      <c r="B197" s="19">
        <v>496</v>
      </c>
      <c r="C197" s="14"/>
      <c r="D197" s="14"/>
      <c r="E197" s="14"/>
      <c r="F197" s="14"/>
      <c r="G197" s="14"/>
      <c r="H197" s="14"/>
      <c r="I197" s="14"/>
      <c r="J197" s="14"/>
      <c r="K197" s="14"/>
      <c r="L197" s="14"/>
      <c r="M197" s="14"/>
      <c r="N197" s="14"/>
      <c r="O197" s="14"/>
      <c r="P197" s="14"/>
      <c r="Q197" s="14"/>
      <c r="R197" s="14"/>
      <c r="S197" s="14"/>
      <c r="T197" s="14"/>
      <c r="U197" s="14"/>
      <c r="V197" s="14"/>
      <c r="W197" s="14"/>
      <c r="X197" s="14"/>
      <c r="Y197" s="14"/>
      <c r="Z197" s="14"/>
      <c r="AA197" s="14"/>
      <c r="AB197" s="14"/>
      <c r="AC197" s="14"/>
      <c r="AD197" s="14"/>
      <c r="AE197" s="14"/>
      <c r="AF197" s="14"/>
      <c r="AG197" s="14"/>
      <c r="AH197" s="14"/>
      <c r="AI197" s="14"/>
      <c r="AJ197" s="14"/>
      <c r="AK197" s="14"/>
      <c r="AL197" s="14"/>
      <c r="AM197" s="14"/>
      <c r="AN197" s="14"/>
      <c r="AO197" s="14"/>
      <c r="AP197" s="14"/>
      <c r="AQ197" s="14"/>
      <c r="AR197" s="14"/>
      <c r="AS197" s="14"/>
      <c r="AT197" s="14"/>
      <c r="AU197" s="14"/>
      <c r="AV197" s="14"/>
      <c r="AW197" s="14"/>
      <c r="AX197" s="14"/>
      <c r="AY197" s="14"/>
      <c r="AZ197" s="14"/>
      <c r="BA197" s="20">
        <f>SUM(C197:AZ197)</f>
        <v>0</v>
      </c>
      <c r="BB197" s="21">
        <f>BA197*B197</f>
        <v>0</v>
      </c>
    </row>
    <row r="198" spans="1:54" ht="14.1" customHeight="1" x14ac:dyDescent="0.25">
      <c r="A198" s="22" t="s">
        <v>216</v>
      </c>
      <c r="B198" s="23"/>
      <c r="C198" s="26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</row>
    <row r="199" spans="1:54" ht="14.1" customHeight="1" x14ac:dyDescent="0.25">
      <c r="A199" s="24" t="s">
        <v>59</v>
      </c>
      <c r="B199" s="25"/>
      <c r="C199" s="27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</row>
    <row r="200" spans="1:54" ht="14.1" customHeight="1" x14ac:dyDescent="0.25">
      <c r="A200" s="24" t="s">
        <v>17</v>
      </c>
      <c r="B200" s="25"/>
      <c r="C200" s="27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</row>
    <row r="201" spans="1:54" ht="14.1" customHeight="1" thickBot="1" x14ac:dyDescent="0.3">
      <c r="A201" s="28" t="s">
        <v>146</v>
      </c>
      <c r="B201" s="29"/>
      <c r="C201" s="27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</row>
    <row r="202" spans="1:54" ht="14.1" customHeight="1" x14ac:dyDescent="0.25">
      <c r="A202" s="17" t="s">
        <v>190</v>
      </c>
      <c r="B202" s="19">
        <v>310</v>
      </c>
      <c r="C202" s="14"/>
      <c r="D202" s="14"/>
      <c r="E202" s="14"/>
      <c r="F202" s="14"/>
      <c r="G202" s="14"/>
      <c r="H202" s="14"/>
      <c r="I202" s="14"/>
      <c r="J202" s="14"/>
      <c r="K202" s="14"/>
      <c r="L202" s="14"/>
      <c r="M202" s="14"/>
      <c r="N202" s="14"/>
      <c r="O202" s="14"/>
      <c r="P202" s="14"/>
      <c r="Q202" s="14"/>
      <c r="R202" s="14"/>
      <c r="S202" s="14"/>
      <c r="T202" s="14"/>
      <c r="U202" s="14"/>
      <c r="V202" s="14"/>
      <c r="W202" s="14"/>
      <c r="X202" s="14"/>
      <c r="Y202" s="14"/>
      <c r="Z202" s="14"/>
      <c r="AA202" s="14"/>
      <c r="AB202" s="14"/>
      <c r="AC202" s="14"/>
      <c r="AD202" s="14"/>
      <c r="AE202" s="14"/>
      <c r="AF202" s="14"/>
      <c r="AG202" s="14"/>
      <c r="AH202" s="14"/>
      <c r="AI202" s="14"/>
      <c r="AJ202" s="14"/>
      <c r="AK202" s="14"/>
      <c r="AL202" s="14"/>
      <c r="AM202" s="14"/>
      <c r="AN202" s="14"/>
      <c r="AO202" s="14"/>
      <c r="AP202" s="14"/>
      <c r="AQ202" s="14"/>
      <c r="AR202" s="14"/>
      <c r="AS202" s="14"/>
      <c r="AT202" s="14"/>
      <c r="AU202" s="14"/>
      <c r="AV202" s="14"/>
      <c r="AW202" s="14"/>
      <c r="AX202" s="14"/>
      <c r="AY202" s="14"/>
      <c r="AZ202" s="14"/>
      <c r="BA202" s="20">
        <f>SUM(C202:AZ202)</f>
        <v>0</v>
      </c>
      <c r="BB202" s="21">
        <f>BA202*B202</f>
        <v>0</v>
      </c>
    </row>
    <row r="203" spans="1:54" ht="14.1" customHeight="1" x14ac:dyDescent="0.25">
      <c r="A203" s="22" t="s">
        <v>221</v>
      </c>
      <c r="B203" s="23"/>
      <c r="C203" s="26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</row>
    <row r="204" spans="1:54" ht="14.1" customHeight="1" thickBot="1" x14ac:dyDescent="0.3">
      <c r="A204" s="28" t="s">
        <v>16</v>
      </c>
      <c r="B204" s="29"/>
      <c r="C204" s="27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</row>
    <row r="205" spans="1:54" ht="14.1" customHeight="1" x14ac:dyDescent="0.25">
      <c r="A205" s="17" t="s">
        <v>191</v>
      </c>
      <c r="B205" s="19">
        <v>361</v>
      </c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20">
        <f>SUM(C205:AZ205)</f>
        <v>0</v>
      </c>
      <c r="BB205" s="21">
        <f>BA205*B205</f>
        <v>0</v>
      </c>
    </row>
    <row r="206" spans="1:54" ht="14.1" customHeight="1" x14ac:dyDescent="0.25">
      <c r="A206" s="22" t="s">
        <v>16</v>
      </c>
      <c r="B206" s="23"/>
      <c r="C206" s="26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</row>
    <row r="207" spans="1:54" ht="14.1" customHeight="1" x14ac:dyDescent="0.25">
      <c r="A207" s="24" t="s">
        <v>222</v>
      </c>
      <c r="B207" s="25"/>
      <c r="C207" s="27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</row>
    <row r="208" spans="1:54" ht="14.1" customHeight="1" thickBot="1" x14ac:dyDescent="0.3">
      <c r="A208" s="28" t="s">
        <v>206</v>
      </c>
      <c r="B208" s="29"/>
      <c r="C208" s="27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</row>
    <row r="209" spans="1:54" ht="14.1" customHeight="1" x14ac:dyDescent="0.25">
      <c r="A209" s="17" t="s">
        <v>194</v>
      </c>
      <c r="B209" s="19">
        <v>276</v>
      </c>
      <c r="C209" s="14"/>
      <c r="D209" s="14"/>
      <c r="E209" s="14"/>
      <c r="F209" s="14"/>
      <c r="G209" s="14"/>
      <c r="H209" s="14"/>
      <c r="I209" s="14"/>
      <c r="J209" s="14"/>
      <c r="K209" s="14"/>
      <c r="L209" s="14"/>
      <c r="M209" s="14"/>
      <c r="N209" s="14"/>
      <c r="O209" s="14"/>
      <c r="P209" s="14"/>
      <c r="Q209" s="14"/>
      <c r="R209" s="14"/>
      <c r="S209" s="14"/>
      <c r="T209" s="14"/>
      <c r="U209" s="14"/>
      <c r="V209" s="14"/>
      <c r="W209" s="14"/>
      <c r="X209" s="14"/>
      <c r="Y209" s="14"/>
      <c r="Z209" s="14"/>
      <c r="AA209" s="14"/>
      <c r="AB209" s="14"/>
      <c r="AC209" s="14"/>
      <c r="AD209" s="14"/>
      <c r="AE209" s="14"/>
      <c r="AF209" s="14"/>
      <c r="AG209" s="14"/>
      <c r="AH209" s="14"/>
      <c r="AI209" s="14"/>
      <c r="AJ209" s="14"/>
      <c r="AK209" s="14"/>
      <c r="AL209" s="14"/>
      <c r="AM209" s="14"/>
      <c r="AN209" s="14"/>
      <c r="AO209" s="14"/>
      <c r="AP209" s="14"/>
      <c r="AQ209" s="14"/>
      <c r="AR209" s="14"/>
      <c r="AS209" s="14"/>
      <c r="AT209" s="14"/>
      <c r="AU209" s="14"/>
      <c r="AV209" s="14"/>
      <c r="AW209" s="14"/>
      <c r="AX209" s="14"/>
      <c r="AY209" s="14"/>
      <c r="AZ209" s="14"/>
      <c r="BA209" s="20">
        <f>SUM(C209:AZ209)</f>
        <v>0</v>
      </c>
      <c r="BB209" s="21">
        <f>BA209*B209</f>
        <v>0</v>
      </c>
    </row>
    <row r="210" spans="1:54" ht="14.1" customHeight="1" x14ac:dyDescent="0.25">
      <c r="A210" s="22" t="s">
        <v>10</v>
      </c>
      <c r="B210" s="23"/>
      <c r="C210" s="26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</row>
    <row r="211" spans="1:54" ht="14.1" customHeight="1" thickBot="1" x14ac:dyDescent="0.3">
      <c r="A211" s="28" t="s">
        <v>218</v>
      </c>
      <c r="B211" s="29"/>
      <c r="C211" s="27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</row>
    <row r="212" spans="1:54" ht="14.1" customHeight="1" x14ac:dyDescent="0.25">
      <c r="A212" s="17" t="s">
        <v>195</v>
      </c>
      <c r="B212" s="19">
        <v>300</v>
      </c>
      <c r="C212" s="14"/>
      <c r="D212" s="14"/>
      <c r="E212" s="14"/>
      <c r="F212" s="14"/>
      <c r="G212" s="14"/>
      <c r="H212" s="14"/>
      <c r="I212" s="14"/>
      <c r="J212" s="14"/>
      <c r="K212" s="14"/>
      <c r="L212" s="14"/>
      <c r="M212" s="14"/>
      <c r="N212" s="14"/>
      <c r="O212" s="14"/>
      <c r="P212" s="14"/>
      <c r="Q212" s="14"/>
      <c r="R212" s="14"/>
      <c r="S212" s="14"/>
      <c r="T212" s="14"/>
      <c r="U212" s="14"/>
      <c r="V212" s="14"/>
      <c r="W212" s="14"/>
      <c r="X212" s="14"/>
      <c r="Y212" s="14"/>
      <c r="Z212" s="14"/>
      <c r="AA212" s="14"/>
      <c r="AB212" s="14"/>
      <c r="AC212" s="14"/>
      <c r="AD212" s="14"/>
      <c r="AE212" s="14"/>
      <c r="AF212" s="14"/>
      <c r="AG212" s="14"/>
      <c r="AH212" s="14"/>
      <c r="AI212" s="14"/>
      <c r="AJ212" s="14"/>
      <c r="AK212" s="14"/>
      <c r="AL212" s="14"/>
      <c r="AM212" s="14"/>
      <c r="AN212" s="14"/>
      <c r="AO212" s="14"/>
      <c r="AP212" s="14"/>
      <c r="AQ212" s="14"/>
      <c r="AR212" s="14"/>
      <c r="AS212" s="14"/>
      <c r="AT212" s="14"/>
      <c r="AU212" s="14"/>
      <c r="AV212" s="14"/>
      <c r="AW212" s="14"/>
      <c r="AX212" s="14"/>
      <c r="AY212" s="14"/>
      <c r="AZ212" s="14"/>
      <c r="BA212" s="20">
        <f>SUM(C212:AZ212)</f>
        <v>0</v>
      </c>
      <c r="BB212" s="21">
        <f>BA212*B212</f>
        <v>0</v>
      </c>
    </row>
    <row r="213" spans="1:54" ht="14.1" customHeight="1" x14ac:dyDescent="0.25">
      <c r="A213" s="22" t="s">
        <v>216</v>
      </c>
      <c r="B213" s="23"/>
      <c r="C213" s="26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</row>
    <row r="214" spans="1:54" ht="14.1" customHeight="1" thickBot="1" x14ac:dyDescent="0.3">
      <c r="A214" s="28" t="s">
        <v>223</v>
      </c>
      <c r="B214" s="29"/>
      <c r="C214" s="27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</row>
    <row r="215" spans="1:54" x14ac:dyDescent="0.25">
      <c r="A215" s="30"/>
      <c r="B215" s="30"/>
      <c r="C215" s="15">
        <f>SUMPRODUCT(C9:C212,$B$9:$B$212)</f>
        <v>0</v>
      </c>
      <c r="D215" s="15">
        <f>SUMPRODUCT(D9:D212,$B$9:$B$212)</f>
        <v>0</v>
      </c>
      <c r="E215" s="15">
        <f>SUMPRODUCT(E9:E212,$B$9:$B$212)</f>
        <v>0</v>
      </c>
      <c r="F215" s="15">
        <f>SUMPRODUCT(F9:F212,$B$9:$B$212)</f>
        <v>0</v>
      </c>
      <c r="G215" s="15">
        <f>SUMPRODUCT(G9:G212,$B$9:$B$212)</f>
        <v>0</v>
      </c>
      <c r="H215" s="15">
        <f>SUMPRODUCT(H9:H212,$B$9:$B$212)</f>
        <v>0</v>
      </c>
      <c r="I215" s="15">
        <f>SUMPRODUCT(I9:I212,$B$9:$B$212)</f>
        <v>0</v>
      </c>
      <c r="J215" s="15">
        <f>SUMPRODUCT(J9:J212,$B$9:$B$212)</f>
        <v>0</v>
      </c>
      <c r="K215" s="15">
        <f>SUMPRODUCT(K9:K212,$B$9:$B$212)</f>
        <v>0</v>
      </c>
      <c r="L215" s="15">
        <f>SUMPRODUCT(L9:L212,$B$9:$B$212)</f>
        <v>0</v>
      </c>
      <c r="M215" s="15">
        <f>SUMPRODUCT(M9:M212,$B$9:$B$212)</f>
        <v>0</v>
      </c>
      <c r="N215" s="15">
        <f>SUMPRODUCT(N9:N212,$B$9:$B$212)</f>
        <v>0</v>
      </c>
      <c r="O215" s="15">
        <f>SUMPRODUCT(O9:O212,$B$9:$B$212)</f>
        <v>0</v>
      </c>
      <c r="P215" s="15">
        <f>SUMPRODUCT(P9:P212,$B$9:$B$212)</f>
        <v>0</v>
      </c>
      <c r="Q215" s="15">
        <f>SUMPRODUCT(Q9:Q212,$B$9:$B$212)</f>
        <v>0</v>
      </c>
      <c r="R215" s="15">
        <f>SUMPRODUCT(R9:R212,$B$9:$B$212)</f>
        <v>0</v>
      </c>
      <c r="S215" s="15">
        <f>SUMPRODUCT(S9:S212,$B$9:$B$212)</f>
        <v>0</v>
      </c>
      <c r="T215" s="15">
        <f>SUMPRODUCT(T9:T212,$B$9:$B$212)</f>
        <v>0</v>
      </c>
      <c r="U215" s="15">
        <f>SUMPRODUCT(U9:U212,$B$9:$B$212)</f>
        <v>0</v>
      </c>
      <c r="V215" s="15">
        <f>SUMPRODUCT(V9:V212,$B$9:$B$212)</f>
        <v>0</v>
      </c>
      <c r="W215" s="15">
        <f>SUMPRODUCT(W9:W212,$B$9:$B$212)</f>
        <v>0</v>
      </c>
      <c r="X215" s="15">
        <f>SUMPRODUCT(X9:X212,$B$9:$B$212)</f>
        <v>0</v>
      </c>
      <c r="Y215" s="15">
        <f>SUMPRODUCT(Y9:Y212,$B$9:$B$212)</f>
        <v>0</v>
      </c>
      <c r="Z215" s="15">
        <f>SUMPRODUCT(Z9:Z212,$B$9:$B$212)</f>
        <v>0</v>
      </c>
      <c r="AA215" s="15">
        <f>SUMPRODUCT(AA9:AA212,$B$9:$B$212)</f>
        <v>0</v>
      </c>
      <c r="AB215" s="15">
        <f>SUMPRODUCT(AB9:AB212,$B$9:$B$212)</f>
        <v>0</v>
      </c>
      <c r="AC215" s="15">
        <f>SUMPRODUCT(AC9:AC212,$B$9:$B$212)</f>
        <v>0</v>
      </c>
      <c r="AD215" s="15">
        <f>SUMPRODUCT(AD9:AD212,$B$9:$B$212)</f>
        <v>0</v>
      </c>
      <c r="AE215" s="15">
        <f>SUMPRODUCT(AE9:AE212,$B$9:$B$212)</f>
        <v>0</v>
      </c>
      <c r="AF215" s="15">
        <f>SUMPRODUCT(AF9:AF212,$B$9:$B$212)</f>
        <v>0</v>
      </c>
      <c r="AG215" s="15">
        <f>SUMPRODUCT(AG9:AG212,$B$9:$B$212)</f>
        <v>0</v>
      </c>
      <c r="AH215" s="15">
        <f>SUMPRODUCT(AH9:AH212,$B$9:$B$212)</f>
        <v>0</v>
      </c>
      <c r="AI215" s="15">
        <f>SUMPRODUCT(AI9:AI212,$B$9:$B$212)</f>
        <v>0</v>
      </c>
      <c r="AJ215" s="15">
        <f>SUMPRODUCT(AJ9:AJ212,$B$9:$B$212)</f>
        <v>0</v>
      </c>
      <c r="AK215" s="15">
        <f>SUMPRODUCT(AK9:AK212,$B$9:$B$212)</f>
        <v>0</v>
      </c>
      <c r="AL215" s="15">
        <f>SUMPRODUCT(AL9:AL212,$B$9:$B$212)</f>
        <v>0</v>
      </c>
      <c r="AM215" s="15">
        <f>SUMPRODUCT(AM9:AM212,$B$9:$B$212)</f>
        <v>0</v>
      </c>
      <c r="AN215" s="15">
        <f>SUMPRODUCT(AN9:AN212,$B$9:$B$212)</f>
        <v>0</v>
      </c>
      <c r="AO215" s="15">
        <f>SUMPRODUCT(AO9:AO212,$B$9:$B$212)</f>
        <v>0</v>
      </c>
      <c r="AP215" s="15">
        <f>SUMPRODUCT(AP9:AP212,$B$9:$B$212)</f>
        <v>0</v>
      </c>
      <c r="AQ215" s="15">
        <f>SUMPRODUCT(AQ9:AQ212,$B$9:$B$212)</f>
        <v>0</v>
      </c>
      <c r="AR215" s="15">
        <f>SUMPRODUCT(AR9:AR212,$B$9:$B$212)</f>
        <v>0</v>
      </c>
      <c r="AS215" s="15">
        <f>SUMPRODUCT(AS9:AS212,$B$9:$B$212)</f>
        <v>0</v>
      </c>
      <c r="AT215" s="15">
        <f>SUMPRODUCT(AT9:AT212,$B$9:$B$212)</f>
        <v>0</v>
      </c>
      <c r="AU215" s="15">
        <f>SUMPRODUCT(AU9:AU212,$B$9:$B$212)</f>
        <v>0</v>
      </c>
      <c r="AV215" s="15">
        <f>SUMPRODUCT(AV9:AV212,$B$9:$B$212)</f>
        <v>0</v>
      </c>
      <c r="AW215" s="15">
        <f>SUMPRODUCT(AW9:AW212,$B$9:$B$212)</f>
        <v>0</v>
      </c>
      <c r="AX215" s="15">
        <f>SUMPRODUCT(AX9:AX212,$B$9:$B$212)</f>
        <v>0</v>
      </c>
      <c r="AY215" s="15">
        <f>SUMPRODUCT(AY9:AY212,$B$9:$B$212)</f>
        <v>0</v>
      </c>
      <c r="AZ215" s="15">
        <f>SUMPRODUCT(AZ9:AZ212,$B$9:$B$212)</f>
        <v>0</v>
      </c>
      <c r="BA215" s="15">
        <f>$BA$10+$BA$11+$BA$12+$BA$13+$BA$14+$BA$15+$BA$16+$BA$17+$BA$18+$BA$19+$BA$20+$BA$21+$BA$22+$BA$23+$BA$24+$BA$25+$BA$26+$BA$27+$BA$28+$BA$30+$BA$31+$BA$32+$BA$33+$BA$34+$BA$35+$BA$36+$BA$37+$BA$38+$BA$39+$BA$40+$BA$41+$BA$42+$BA$43+$BA$45+$BA$46+$BA$48+$BA$49+$BA$50+$BA$51+$BA$52+$BA$53+$BA$54+$BA$55+$BA$56+$BA$57+$BA$58+$BA$59+$BA$60+$BA$61+$BA$62+$BA$63+$BA$64+$BA$65+$BA$66+$BA$67+$BA$68+$BA$69+$BA$70+$BA$71+$BA$72+$BA$73+$BA$74+$BA$75+$BA$76+$BA$77+$BA$78+$BA$79+$BA$80+$BA$81+$BA$82+$BA$83+$BA$84+$BA$85+$BA$86+$BA$87+$BA$88+$BA$89+$BA$90+$BA$91+$BA$92+$BA$93+$BA$95+$BA$96+$BA$97+$BA$98+$BA$100+$BA$101+$BA$102+$BA$103+$BA$104+$BA$105+$BA$106+$BA$107+$BA$108+$BA$109+$BA$110+$BA$112+$BA$113+$BA$114+$BA$115+$BA$116+$BA$118+$BA$119+$BA$120+$BA$121+$BA$122+$BA$123+$BA$124+$BA$125+$BA$126+$BA$127+$BA$128+$BA$129+$BA$130+$BA$131+$BA$132+$BA$133+$BA$134+$BA$135+$BA$137+$BA$138+$BA$139+$BA$140+$BA$141+$BA$142+$BA$143+$BA$144+$BA$145+$BA$146+$BA$147+$BA$148+$BA$149+$BA$150+$BA$151+$BA$152+$BA$153+$BA$154+$BA$155+$BA$156+$BA$157+$BA$158+$BA$159+$BA$161+$BA$162+$BA$163+$BA$164+$BA$165+$BA$166+$BA$167+$BA$168+$BA$169+$BA$170+$BA$171+$BA$172+$BA$173+$BA$174+$BA$175+$BA$176+$BA$177+$BA$178+$BA$180+$BA$184+$BA$188+$BA$193+$BA$197+$BA$202+$BA$205+$BA$209+$BA$212</f>
        <v>0</v>
      </c>
      <c r="BB215" s="13">
        <f>$BB$10+$BB$11+$BB$12+$BB$13+$BB$14+$BB$15+$BB$16+$BB$17+$BB$18+$BB$19+$BB$20+$BB$21+$BB$22+$BB$23+$BB$24+$BB$25+$BB$26+$BB$27+$BB$28+$BB$30+$BB$31+$BB$32+$BB$33+$BB$34+$BB$35+$BB$36+$BB$37+$BB$38+$BB$39+$BB$40+$BB$41+$BB$42+$BB$43+$BB$45+$BB$46+$BB$48+$BB$49+$BB$50+$BB$51+$BB$52+$BB$53+$BB$54+$BB$55+$BB$56+$BB$57+$BB$58+$BB$59+$BB$60+$BB$61+$BB$62+$BB$63+$BB$64+$BB$65+$BB$66+$BB$67+$BB$68+$BB$69+$BB$70+$BB$71+$BB$72+$BB$73+$BB$74+$BB$75+$BB$76+$BB$77+$BB$78+$BB$79+$BB$80+$BB$81+$BB$82+$BB$83+$BB$84+$BB$85+$BB$86+$BB$87+$BB$88+$BB$89+$BB$90+$BB$91+$BB$92+$BB$93+$BB$95+$BB$96+$BB$97+$BB$98+$BB$100+$BB$101+$BB$102+$BB$103+$BB$104+$BB$105+$BB$106+$BB$107+$BB$108+$BB$109+$BB$110+$BB$112+$BB$113+$BB$114+$BB$115+$BB$116+$BB$118+$BB$119+$BB$120+$BB$121+$BB$122+$BB$123+$BB$124+$BB$125+$BB$126+$BB$127+$BB$128+$BB$129+$BB$130+$BB$131+$BB$132+$BB$133+$BB$134+$BB$135+$BB$137+$BB$138+$BB$139+$BB$140+$BB$141+$BB$142+$BB$143+$BB$144+$BB$145+$BB$146+$BB$147+$BB$148+$BB$149+$BB$150+$BB$151+$BB$152+$BB$153+$BB$154+$BB$155+$BB$156+$BB$157+$BB$158+$BB$159+$BB$161+$BB$162+$BB$163+$BB$164+$BB$165+$BB$166+$BB$167+$BB$168+$BB$169+$BB$170+$BB$171+$BB$172+$BB$173+$BB$174+$BB$175+$BB$176+$BB$177+$BB$178+$BB$180+$BB$184+$BB$188+$BB$193+$BB$197+$BB$202+$BB$205+$BB$209+$BB$212</f>
        <v>0</v>
      </c>
    </row>
  </sheetData>
  <sheetProtection algorithmName="SHA-512" hashValue="rJVjaotYuhUspd41QAE8ToNKTIyiBjS1RjQK1d8dvJa7kLEZ+lRphxDL3HNOEjx4pGRQEZUjxg+/b9iHIq/SMQ==" saltValue="YTNnnyKLAV+O44HeXLGTbw==" spinCount="100000" sheet="1" objects="1" scenarios="1"/>
  <mergeCells count="42">
    <mergeCell ref="A213:B213"/>
    <mergeCell ref="A214:B214"/>
    <mergeCell ref="C213:BB214"/>
    <mergeCell ref="A206:B206"/>
    <mergeCell ref="A207:B207"/>
    <mergeCell ref="A208:B208"/>
    <mergeCell ref="C206:BB208"/>
    <mergeCell ref="A210:B210"/>
    <mergeCell ref="A211:B211"/>
    <mergeCell ref="C210:BB211"/>
    <mergeCell ref="A200:B200"/>
    <mergeCell ref="A201:B201"/>
    <mergeCell ref="C198:BB201"/>
    <mergeCell ref="A203:B203"/>
    <mergeCell ref="A204:B204"/>
    <mergeCell ref="C203:BB204"/>
    <mergeCell ref="A194:B194"/>
    <mergeCell ref="A195:B195"/>
    <mergeCell ref="A196:B196"/>
    <mergeCell ref="C194:BB196"/>
    <mergeCell ref="A198:B198"/>
    <mergeCell ref="A199:B199"/>
    <mergeCell ref="A187:B187"/>
    <mergeCell ref="C185:BB187"/>
    <mergeCell ref="A189:B189"/>
    <mergeCell ref="A190:B190"/>
    <mergeCell ref="A191:B191"/>
    <mergeCell ref="A192:B192"/>
    <mergeCell ref="C189:BB192"/>
    <mergeCell ref="A181:B181"/>
    <mergeCell ref="A182:B182"/>
    <mergeCell ref="A183:B183"/>
    <mergeCell ref="C181:BB183"/>
    <mergeCell ref="A185:B185"/>
    <mergeCell ref="A186:B186"/>
    <mergeCell ref="A1:B4"/>
    <mergeCell ref="C1:BB4"/>
    <mergeCell ref="C5:AZ5"/>
    <mergeCell ref="C6:AZ6"/>
    <mergeCell ref="C7:AZ7"/>
    <mergeCell ref="BA5:BA7"/>
    <mergeCell ref="BB5:BB7"/>
  </mergeCells>
  <pageMargins left="0.39370078740157499" right="0.39370078740157499" top="0.75" bottom="0.75" header="0.3" footer="0.3"/>
  <pageSetup paperSize="9" scale="80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214"/>
  <sheetViews>
    <sheetView workbookViewId="0">
      <pane xSplit="2" ySplit="8" topLeftCell="C9" activePane="bottomRight" state="frozenSplit"/>
      <selection pane="bottomLeft" activeCell="A9" sqref="A9"/>
      <selection pane="topRight" activeCell="C1" sqref="C1"/>
      <selection pane="bottomRight" sqref="A1:B4"/>
    </sheetView>
  </sheetViews>
  <sheetFormatPr defaultRowHeight="15" x14ac:dyDescent="0.25"/>
  <cols>
    <col min="1" max="1" width="70.7109375" customWidth="1"/>
    <col min="2" max="2" width="7.7109375" customWidth="1"/>
    <col min="3" max="52" width="3.7109375" customWidth="1"/>
    <col min="53" max="53" width="5.7109375" customWidth="1"/>
    <col min="54" max="54" width="20.7109375" customWidth="1"/>
  </cols>
  <sheetData>
    <row r="1" spans="1:54" ht="35.1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</row>
    <row r="2" spans="1:54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spans="1:5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spans="1:54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spans="1:54" ht="20.100000000000001" customHeight="1" x14ac:dyDescent="0.25">
      <c r="C5" s="3" t="s">
        <v>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5" t="s">
        <v>5</v>
      </c>
      <c r="BB5" s="6" t="s">
        <v>6</v>
      </c>
    </row>
    <row r="6" spans="1:54" ht="20.100000000000001" customHeight="1" x14ac:dyDescent="0.25">
      <c r="C6" s="3" t="s">
        <v>224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5"/>
      <c r="BB6" s="6"/>
    </row>
    <row r="7" spans="1:54" ht="20.100000000000001" customHeight="1" x14ac:dyDescent="0.25">
      <c r="C7" s="3" t="s">
        <v>225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5"/>
      <c r="BB7" s="6"/>
    </row>
    <row r="8" spans="1:54" ht="14.1" customHeight="1" x14ac:dyDescent="0.25">
      <c r="A8" s="7" t="s">
        <v>0</v>
      </c>
      <c r="B8" s="8" t="s">
        <v>1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8"/>
      <c r="BB8" s="8"/>
    </row>
    <row r="9" spans="1:54" x14ac:dyDescent="0.25">
      <c r="A9" s="10" t="s">
        <v>7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</row>
    <row r="10" spans="1:54" ht="14.1" customHeight="1" x14ac:dyDescent="0.25">
      <c r="A10" s="12" t="s">
        <v>8</v>
      </c>
      <c r="B10" s="13">
        <v>127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5">
        <f>SUM(C10:AZ10)</f>
        <v>0</v>
      </c>
      <c r="BB10" s="13">
        <f>BA10*B10</f>
        <v>0</v>
      </c>
    </row>
    <row r="11" spans="1:54" ht="14.1" customHeight="1" x14ac:dyDescent="0.25">
      <c r="A11" s="12" t="s">
        <v>9</v>
      </c>
      <c r="B11" s="13">
        <v>127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5">
        <f>SUM(C11:AZ11)</f>
        <v>0</v>
      </c>
      <c r="BB11" s="13">
        <f>BA11*B11</f>
        <v>0</v>
      </c>
    </row>
    <row r="12" spans="1:54" ht="14.1" customHeight="1" x14ac:dyDescent="0.25">
      <c r="A12" s="12" t="s">
        <v>10</v>
      </c>
      <c r="B12" s="13">
        <v>105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5">
        <f>SUM(C12:AZ12)</f>
        <v>0</v>
      </c>
      <c r="BB12" s="13">
        <f>BA12*B12</f>
        <v>0</v>
      </c>
    </row>
    <row r="13" spans="1:54" ht="14.1" customHeight="1" x14ac:dyDescent="0.25">
      <c r="A13" s="12" t="s">
        <v>11</v>
      </c>
      <c r="B13" s="13">
        <v>149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5">
        <f>SUM(C13:AZ13)</f>
        <v>0</v>
      </c>
      <c r="BB13" s="13">
        <f>BA13*B13</f>
        <v>0</v>
      </c>
    </row>
    <row r="14" spans="1:54" ht="14.1" customHeight="1" x14ac:dyDescent="0.25">
      <c r="A14" s="12" t="s">
        <v>12</v>
      </c>
      <c r="B14" s="13">
        <v>149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5">
        <f>SUM(C14:AZ14)</f>
        <v>0</v>
      </c>
      <c r="BB14" s="13">
        <f>BA14*B14</f>
        <v>0</v>
      </c>
    </row>
    <row r="15" spans="1:54" ht="14.1" customHeight="1" x14ac:dyDescent="0.25">
      <c r="A15" s="12" t="s">
        <v>13</v>
      </c>
      <c r="B15" s="13">
        <v>135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5">
        <f>SUM(C15:AZ15)</f>
        <v>0</v>
      </c>
      <c r="BB15" s="13">
        <f>BA15*B15</f>
        <v>0</v>
      </c>
    </row>
    <row r="16" spans="1:54" ht="14.1" customHeight="1" x14ac:dyDescent="0.25">
      <c r="A16" s="12" t="s">
        <v>14</v>
      </c>
      <c r="B16" s="13">
        <v>135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5">
        <f>SUM(C16:AZ16)</f>
        <v>0</v>
      </c>
      <c r="BB16" s="13">
        <f>BA16*B16</f>
        <v>0</v>
      </c>
    </row>
    <row r="17" spans="1:54" ht="14.1" customHeight="1" x14ac:dyDescent="0.25">
      <c r="A17" s="12" t="s">
        <v>15</v>
      </c>
      <c r="B17" s="13">
        <v>135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5">
        <f>SUM(C17:AZ17)</f>
        <v>0</v>
      </c>
      <c r="BB17" s="13">
        <f>BA17*B17</f>
        <v>0</v>
      </c>
    </row>
    <row r="18" spans="1:54" ht="14.1" customHeight="1" x14ac:dyDescent="0.25">
      <c r="A18" s="12" t="s">
        <v>16</v>
      </c>
      <c r="B18" s="13">
        <v>142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5">
        <f>SUM(C18:AZ18)</f>
        <v>0</v>
      </c>
      <c r="BB18" s="13">
        <f>BA18*B18</f>
        <v>0</v>
      </c>
    </row>
    <row r="19" spans="1:54" ht="14.1" customHeight="1" x14ac:dyDescent="0.25">
      <c r="A19" s="12" t="s">
        <v>18</v>
      </c>
      <c r="B19" s="13">
        <v>157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5">
        <f>SUM(C19:AZ19)</f>
        <v>0</v>
      </c>
      <c r="BB19" s="13">
        <f>BA19*B19</f>
        <v>0</v>
      </c>
    </row>
    <row r="20" spans="1:54" ht="14.1" customHeight="1" x14ac:dyDescent="0.25">
      <c r="A20" s="12" t="s">
        <v>19</v>
      </c>
      <c r="B20" s="13">
        <v>112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5">
        <f>SUM(C20:AZ20)</f>
        <v>0</v>
      </c>
      <c r="BB20" s="13">
        <f>BA20*B20</f>
        <v>0</v>
      </c>
    </row>
    <row r="21" spans="1:54" ht="14.1" customHeight="1" x14ac:dyDescent="0.25">
      <c r="A21" s="12" t="s">
        <v>20</v>
      </c>
      <c r="B21" s="13">
        <v>268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5">
        <f>SUM(C21:AZ21)</f>
        <v>0</v>
      </c>
      <c r="BB21" s="13">
        <f>BA21*B21</f>
        <v>0</v>
      </c>
    </row>
    <row r="22" spans="1:54" ht="14.1" customHeight="1" x14ac:dyDescent="0.25">
      <c r="A22" s="12" t="s">
        <v>21</v>
      </c>
      <c r="B22" s="13">
        <v>268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5">
        <f>SUM(C22:AZ22)</f>
        <v>0</v>
      </c>
      <c r="BB22" s="13">
        <f>BA22*B22</f>
        <v>0</v>
      </c>
    </row>
    <row r="23" spans="1:54" ht="14.1" customHeight="1" x14ac:dyDescent="0.25">
      <c r="A23" s="12" t="s">
        <v>22</v>
      </c>
      <c r="B23" s="13">
        <v>268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5">
        <f>SUM(C23:AZ23)</f>
        <v>0</v>
      </c>
      <c r="BB23" s="13">
        <f>BA23*B23</f>
        <v>0</v>
      </c>
    </row>
    <row r="24" spans="1:54" ht="14.1" customHeight="1" x14ac:dyDescent="0.25">
      <c r="A24" s="12" t="s">
        <v>226</v>
      </c>
      <c r="B24" s="13">
        <v>142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5">
        <f>SUM(C24:AZ24)</f>
        <v>0</v>
      </c>
      <c r="BB24" s="13">
        <f>BA24*B24</f>
        <v>0</v>
      </c>
    </row>
    <row r="25" spans="1:54" ht="14.1" customHeight="1" x14ac:dyDescent="0.25">
      <c r="A25" s="12" t="s">
        <v>23</v>
      </c>
      <c r="B25" s="13">
        <v>230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5">
        <f>SUM(C25:AZ25)</f>
        <v>0</v>
      </c>
      <c r="BB25" s="13">
        <f>BA25*B25</f>
        <v>0</v>
      </c>
    </row>
    <row r="26" spans="1:54" ht="14.1" customHeight="1" x14ac:dyDescent="0.25">
      <c r="A26" s="12" t="s">
        <v>24</v>
      </c>
      <c r="B26" s="13">
        <v>253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5">
        <f>SUM(C26:AZ26)</f>
        <v>0</v>
      </c>
      <c r="BB26" s="13">
        <f>BA26*B26</f>
        <v>0</v>
      </c>
    </row>
    <row r="27" spans="1:54" ht="14.1" customHeight="1" x14ac:dyDescent="0.25">
      <c r="A27" s="12" t="s">
        <v>26</v>
      </c>
      <c r="B27" s="13">
        <v>136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5">
        <f>SUM(C27:AZ27)</f>
        <v>0</v>
      </c>
      <c r="BB27" s="13">
        <f>BA27*B27</f>
        <v>0</v>
      </c>
    </row>
    <row r="28" spans="1:54" ht="14.1" customHeight="1" x14ac:dyDescent="0.25">
      <c r="A28" s="12" t="s">
        <v>227</v>
      </c>
      <c r="B28" s="13">
        <v>142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5">
        <f>SUM(C28:AZ28)</f>
        <v>0</v>
      </c>
      <c r="BB28" s="13">
        <f>BA28*B28</f>
        <v>0</v>
      </c>
    </row>
    <row r="29" spans="1:54" ht="14.1" customHeight="1" x14ac:dyDescent="0.25">
      <c r="A29" s="12" t="s">
        <v>199</v>
      </c>
      <c r="B29" s="13">
        <v>142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5">
        <f>SUM(C29:AZ29)</f>
        <v>0</v>
      </c>
      <c r="BB29" s="13">
        <f>BA29*B29</f>
        <v>0</v>
      </c>
    </row>
    <row r="30" spans="1:54" ht="14.1" customHeight="1" x14ac:dyDescent="0.25">
      <c r="A30" s="12" t="s">
        <v>17</v>
      </c>
      <c r="B30" s="13">
        <v>135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5">
        <f>SUM(C30:AZ30)</f>
        <v>0</v>
      </c>
      <c r="BB30" s="13">
        <f>BA30*B30</f>
        <v>0</v>
      </c>
    </row>
    <row r="31" spans="1:54" ht="14.1" customHeight="1" x14ac:dyDescent="0.25">
      <c r="A31" s="12" t="s">
        <v>27</v>
      </c>
      <c r="B31" s="13">
        <v>164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5">
        <f>SUM(C31:AZ31)</f>
        <v>0</v>
      </c>
      <c r="BB31" s="13">
        <f>BA31*B31</f>
        <v>0</v>
      </c>
    </row>
    <row r="32" spans="1:54" ht="14.1" customHeight="1" x14ac:dyDescent="0.25">
      <c r="A32" s="12" t="s">
        <v>29</v>
      </c>
      <c r="B32" s="13">
        <v>224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5">
        <f>SUM(C32:AZ32)</f>
        <v>0</v>
      </c>
      <c r="BB32" s="13">
        <f>BA32*B32</f>
        <v>0</v>
      </c>
    </row>
    <row r="33" spans="1:54" x14ac:dyDescent="0.25">
      <c r="A33" s="10" t="s">
        <v>30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</row>
    <row r="34" spans="1:54" ht="14.1" customHeight="1" x14ac:dyDescent="0.25">
      <c r="A34" s="12" t="s">
        <v>31</v>
      </c>
      <c r="B34" s="13">
        <v>184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5">
        <f>SUM(C34:AZ34)</f>
        <v>0</v>
      </c>
      <c r="BB34" s="13">
        <f>BA34*B34</f>
        <v>0</v>
      </c>
    </row>
    <row r="35" spans="1:54" ht="14.1" customHeight="1" x14ac:dyDescent="0.25">
      <c r="A35" s="12" t="s">
        <v>32</v>
      </c>
      <c r="B35" s="13">
        <v>173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5">
        <f>SUM(C35:AZ35)</f>
        <v>0</v>
      </c>
      <c r="BB35" s="13">
        <f>BA35*B35</f>
        <v>0</v>
      </c>
    </row>
    <row r="36" spans="1:54" ht="14.1" customHeight="1" x14ac:dyDescent="0.25">
      <c r="A36" s="12" t="s">
        <v>33</v>
      </c>
      <c r="B36" s="13">
        <v>142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5">
        <f>SUM(C36:AZ36)</f>
        <v>0</v>
      </c>
      <c r="BB36" s="13">
        <f>BA36*B36</f>
        <v>0</v>
      </c>
    </row>
    <row r="37" spans="1:54" ht="14.1" customHeight="1" x14ac:dyDescent="0.25">
      <c r="A37" s="12" t="s">
        <v>34</v>
      </c>
      <c r="B37" s="13">
        <v>142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5">
        <f>SUM(C37:AZ37)</f>
        <v>0</v>
      </c>
      <c r="BB37" s="13">
        <f>BA37*B37</f>
        <v>0</v>
      </c>
    </row>
    <row r="38" spans="1:54" ht="14.1" customHeight="1" x14ac:dyDescent="0.25">
      <c r="A38" s="12" t="s">
        <v>35</v>
      </c>
      <c r="B38" s="13">
        <v>142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5">
        <f>SUM(C38:AZ38)</f>
        <v>0</v>
      </c>
      <c r="BB38" s="13">
        <f>BA38*B38</f>
        <v>0</v>
      </c>
    </row>
    <row r="39" spans="1:54" ht="14.1" customHeight="1" x14ac:dyDescent="0.25">
      <c r="A39" s="12" t="s">
        <v>36</v>
      </c>
      <c r="B39" s="13">
        <v>149</v>
      </c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5">
        <f>SUM(C39:AZ39)</f>
        <v>0</v>
      </c>
      <c r="BB39" s="13">
        <f>BA39*B39</f>
        <v>0</v>
      </c>
    </row>
    <row r="40" spans="1:54" ht="14.1" customHeight="1" x14ac:dyDescent="0.25">
      <c r="A40" s="12" t="s">
        <v>37</v>
      </c>
      <c r="B40" s="13">
        <v>151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5">
        <f>SUM(C40:AZ40)</f>
        <v>0</v>
      </c>
      <c r="BB40" s="13">
        <f>BA40*B40</f>
        <v>0</v>
      </c>
    </row>
    <row r="41" spans="1:54" ht="14.1" customHeight="1" x14ac:dyDescent="0.25">
      <c r="A41" s="12" t="s">
        <v>38</v>
      </c>
      <c r="B41" s="13">
        <v>124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5">
        <f>SUM(C41:AZ41)</f>
        <v>0</v>
      </c>
      <c r="BB41" s="13">
        <f>BA41*B41</f>
        <v>0</v>
      </c>
    </row>
    <row r="42" spans="1:54" ht="14.1" customHeight="1" x14ac:dyDescent="0.25">
      <c r="A42" s="12" t="s">
        <v>39</v>
      </c>
      <c r="B42" s="13">
        <v>124</v>
      </c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5">
        <f>SUM(C42:AZ42)</f>
        <v>0</v>
      </c>
      <c r="BB42" s="13">
        <f>BA42*B42</f>
        <v>0</v>
      </c>
    </row>
    <row r="43" spans="1:54" ht="14.1" customHeight="1" x14ac:dyDescent="0.25">
      <c r="A43" s="12" t="s">
        <v>40</v>
      </c>
      <c r="B43" s="13">
        <v>135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5">
        <f>SUM(C43:AZ43)</f>
        <v>0</v>
      </c>
      <c r="BB43" s="13">
        <f>BA43*B43</f>
        <v>0</v>
      </c>
    </row>
    <row r="44" spans="1:54" ht="14.1" customHeight="1" x14ac:dyDescent="0.25">
      <c r="A44" s="12" t="s">
        <v>41</v>
      </c>
      <c r="B44" s="13">
        <v>138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5">
        <f>SUM(C44:AZ44)</f>
        <v>0</v>
      </c>
      <c r="BB44" s="13">
        <f>BA44*B44</f>
        <v>0</v>
      </c>
    </row>
    <row r="45" spans="1:54" ht="14.1" customHeight="1" x14ac:dyDescent="0.25">
      <c r="A45" s="12" t="s">
        <v>228</v>
      </c>
      <c r="B45" s="13">
        <v>119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5">
        <f>SUM(C45:AZ45)</f>
        <v>0</v>
      </c>
      <c r="BB45" s="13">
        <f>BA45*B45</f>
        <v>0</v>
      </c>
    </row>
    <row r="46" spans="1:54" x14ac:dyDescent="0.25">
      <c r="A46" s="10" t="s">
        <v>44</v>
      </c>
      <c r="B46" s="11"/>
      <c r="C46" s="11"/>
      <c r="D46" s="11"/>
      <c r="E46" s="11"/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  <c r="AA46" s="11"/>
      <c r="AB46" s="11"/>
      <c r="AC46" s="11"/>
      <c r="AD46" s="11"/>
      <c r="AE46" s="11"/>
      <c r="AF46" s="11"/>
      <c r="AG46" s="11"/>
      <c r="AH46" s="11"/>
      <c r="AI46" s="11"/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</row>
    <row r="47" spans="1:54" ht="14.1" customHeight="1" x14ac:dyDescent="0.25">
      <c r="A47" s="12" t="s">
        <v>229</v>
      </c>
      <c r="B47" s="13">
        <v>149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5">
        <f>SUM(C47:AZ47)</f>
        <v>0</v>
      </c>
      <c r="BB47" s="13">
        <f>BA47*B47</f>
        <v>0</v>
      </c>
    </row>
    <row r="48" spans="1:54" ht="14.1" customHeight="1" x14ac:dyDescent="0.25">
      <c r="A48" s="12" t="s">
        <v>230</v>
      </c>
      <c r="B48" s="13">
        <v>149</v>
      </c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5">
        <f>SUM(C48:AZ48)</f>
        <v>0</v>
      </c>
      <c r="BB48" s="13">
        <f>BA48*B48</f>
        <v>0</v>
      </c>
    </row>
    <row r="49" spans="1:54" x14ac:dyDescent="0.25">
      <c r="A49" s="10" t="s">
        <v>47</v>
      </c>
      <c r="B49" s="11"/>
      <c r="C49" s="11"/>
      <c r="D49" s="11"/>
      <c r="E49" s="11"/>
      <c r="F49" s="11"/>
      <c r="G49" s="11"/>
      <c r="H49" s="11"/>
      <c r="I49" s="11"/>
      <c r="J49" s="11"/>
      <c r="K49" s="11"/>
      <c r="L49" s="11"/>
      <c r="M49" s="11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  <c r="AA49" s="11"/>
      <c r="AB49" s="11"/>
      <c r="AC49" s="11"/>
      <c r="AD49" s="11"/>
      <c r="AE49" s="11"/>
      <c r="AF49" s="11"/>
      <c r="AG49" s="11"/>
      <c r="AH49" s="11"/>
      <c r="AI49" s="11"/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</row>
    <row r="50" spans="1:54" ht="14.1" customHeight="1" x14ac:dyDescent="0.25">
      <c r="A50" s="12" t="s">
        <v>60</v>
      </c>
      <c r="B50" s="13">
        <v>219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5">
        <f>SUM(C50:AZ50)</f>
        <v>0</v>
      </c>
      <c r="BB50" s="13">
        <f>BA50*B50</f>
        <v>0</v>
      </c>
    </row>
    <row r="51" spans="1:54" ht="14.1" customHeight="1" x14ac:dyDescent="0.25">
      <c r="A51" s="12" t="s">
        <v>73</v>
      </c>
      <c r="B51" s="13">
        <v>191</v>
      </c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5">
        <f>SUM(C51:AZ51)</f>
        <v>0</v>
      </c>
      <c r="BB51" s="13">
        <f>BA51*B51</f>
        <v>0</v>
      </c>
    </row>
    <row r="52" spans="1:54" ht="14.1" customHeight="1" x14ac:dyDescent="0.25">
      <c r="A52" s="12" t="s">
        <v>91</v>
      </c>
      <c r="B52" s="13">
        <v>164</v>
      </c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5">
        <f>SUM(C52:AZ52)</f>
        <v>0</v>
      </c>
      <c r="BB52" s="13">
        <f>BA52*B52</f>
        <v>0</v>
      </c>
    </row>
    <row r="53" spans="1:54" ht="14.1" customHeight="1" x14ac:dyDescent="0.25">
      <c r="A53" s="12" t="s">
        <v>52</v>
      </c>
      <c r="B53" s="13">
        <v>178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5">
        <f>SUM(C53:AZ53)</f>
        <v>0</v>
      </c>
      <c r="BB53" s="13">
        <f>BA53*B53</f>
        <v>0</v>
      </c>
    </row>
    <row r="54" spans="1:54" ht="14.1" customHeight="1" x14ac:dyDescent="0.25">
      <c r="A54" s="12" t="s">
        <v>93</v>
      </c>
      <c r="B54" s="13">
        <v>178</v>
      </c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5">
        <f>SUM(C54:AZ54)</f>
        <v>0</v>
      </c>
      <c r="BB54" s="13">
        <f>BA54*B54</f>
        <v>0</v>
      </c>
    </row>
    <row r="55" spans="1:54" ht="14.1" customHeight="1" x14ac:dyDescent="0.25">
      <c r="A55" s="12" t="s">
        <v>92</v>
      </c>
      <c r="B55" s="13">
        <v>137</v>
      </c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5">
        <f>SUM(C55:AZ55)</f>
        <v>0</v>
      </c>
      <c r="BB55" s="13">
        <f>BA55*B55</f>
        <v>0</v>
      </c>
    </row>
    <row r="56" spans="1:54" ht="14.1" customHeight="1" x14ac:dyDescent="0.25">
      <c r="A56" s="12" t="s">
        <v>72</v>
      </c>
      <c r="B56" s="13">
        <v>219</v>
      </c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5">
        <f>SUM(C56:AZ56)</f>
        <v>0</v>
      </c>
      <c r="BB56" s="13">
        <f>BA56*B56</f>
        <v>0</v>
      </c>
    </row>
    <row r="57" spans="1:54" ht="14.1" customHeight="1" x14ac:dyDescent="0.25">
      <c r="A57" s="12" t="s">
        <v>53</v>
      </c>
      <c r="B57" s="13">
        <v>219</v>
      </c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5">
        <f>SUM(C57:AZ57)</f>
        <v>0</v>
      </c>
      <c r="BB57" s="13">
        <f>BA57*B57</f>
        <v>0</v>
      </c>
    </row>
    <row r="58" spans="1:54" ht="14.1" customHeight="1" x14ac:dyDescent="0.25">
      <c r="A58" s="12" t="s">
        <v>54</v>
      </c>
      <c r="B58" s="13">
        <v>205</v>
      </c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5">
        <f>SUM(C58:AZ58)</f>
        <v>0</v>
      </c>
      <c r="BB58" s="13">
        <f>BA58*B58</f>
        <v>0</v>
      </c>
    </row>
    <row r="59" spans="1:54" ht="14.1" customHeight="1" x14ac:dyDescent="0.25">
      <c r="A59" s="12" t="s">
        <v>55</v>
      </c>
      <c r="B59" s="13">
        <v>219</v>
      </c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5">
        <f>SUM(C59:AZ59)</f>
        <v>0</v>
      </c>
      <c r="BB59" s="13">
        <f>BA59*B59</f>
        <v>0</v>
      </c>
    </row>
    <row r="60" spans="1:54" ht="14.1" customHeight="1" x14ac:dyDescent="0.25">
      <c r="A60" s="12" t="s">
        <v>56</v>
      </c>
      <c r="B60" s="13">
        <v>205</v>
      </c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5">
        <f>SUM(C60:AZ60)</f>
        <v>0</v>
      </c>
      <c r="BB60" s="13">
        <f>BA60*B60</f>
        <v>0</v>
      </c>
    </row>
    <row r="61" spans="1:54" ht="14.1" customHeight="1" x14ac:dyDescent="0.25">
      <c r="A61" s="12" t="s">
        <v>57</v>
      </c>
      <c r="B61" s="13">
        <v>205</v>
      </c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5">
        <f>SUM(C61:AZ61)</f>
        <v>0</v>
      </c>
      <c r="BB61" s="13">
        <f>BA61*B61</f>
        <v>0</v>
      </c>
    </row>
    <row r="62" spans="1:54" ht="14.1" customHeight="1" x14ac:dyDescent="0.25">
      <c r="A62" s="12" t="s">
        <v>58</v>
      </c>
      <c r="B62" s="13">
        <v>219</v>
      </c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5">
        <f>SUM(C62:AZ62)</f>
        <v>0</v>
      </c>
      <c r="BB62" s="13">
        <f>BA62*B62</f>
        <v>0</v>
      </c>
    </row>
    <row r="63" spans="1:54" ht="14.1" customHeight="1" x14ac:dyDescent="0.25">
      <c r="A63" s="12" t="s">
        <v>59</v>
      </c>
      <c r="B63" s="13">
        <v>219</v>
      </c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5">
        <f>SUM(C63:AZ63)</f>
        <v>0</v>
      </c>
      <c r="BB63" s="13">
        <f>BA63*B63</f>
        <v>0</v>
      </c>
    </row>
    <row r="64" spans="1:54" ht="14.1" customHeight="1" x14ac:dyDescent="0.25">
      <c r="A64" s="12" t="s">
        <v>61</v>
      </c>
      <c r="B64" s="13">
        <v>205</v>
      </c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5">
        <f>SUM(C64:AZ64)</f>
        <v>0</v>
      </c>
      <c r="BB64" s="13">
        <f>BA64*B64</f>
        <v>0</v>
      </c>
    </row>
    <row r="65" spans="1:54" ht="14.1" customHeight="1" x14ac:dyDescent="0.25">
      <c r="A65" s="12" t="s">
        <v>88</v>
      </c>
      <c r="B65" s="13">
        <v>233</v>
      </c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5">
        <f>SUM(C65:AZ65)</f>
        <v>0</v>
      </c>
      <c r="BB65" s="13">
        <f>BA65*B65</f>
        <v>0</v>
      </c>
    </row>
    <row r="66" spans="1:54" ht="14.1" customHeight="1" x14ac:dyDescent="0.25">
      <c r="A66" s="12" t="s">
        <v>89</v>
      </c>
      <c r="B66" s="13">
        <v>156</v>
      </c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5">
        <f>SUM(C66:AZ66)</f>
        <v>0</v>
      </c>
      <c r="BB66" s="13">
        <f>BA66*B66</f>
        <v>0</v>
      </c>
    </row>
    <row r="67" spans="1:54" ht="14.1" customHeight="1" x14ac:dyDescent="0.25">
      <c r="A67" s="12" t="s">
        <v>62</v>
      </c>
      <c r="B67" s="13">
        <v>219</v>
      </c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5">
        <f>SUM(C67:AZ67)</f>
        <v>0</v>
      </c>
      <c r="BB67" s="13">
        <f>BA67*B67</f>
        <v>0</v>
      </c>
    </row>
    <row r="68" spans="1:54" ht="14.1" customHeight="1" x14ac:dyDescent="0.25">
      <c r="A68" s="12" t="s">
        <v>63</v>
      </c>
      <c r="B68" s="13">
        <v>205</v>
      </c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5">
        <f>SUM(C68:AZ68)</f>
        <v>0</v>
      </c>
      <c r="BB68" s="13">
        <f>BA68*B68</f>
        <v>0</v>
      </c>
    </row>
    <row r="69" spans="1:54" ht="14.1" customHeight="1" x14ac:dyDescent="0.25">
      <c r="A69" s="12" t="s">
        <v>64</v>
      </c>
      <c r="B69" s="13">
        <v>226</v>
      </c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5">
        <f>SUM(C69:AZ69)</f>
        <v>0</v>
      </c>
      <c r="BB69" s="13">
        <f>BA69*B69</f>
        <v>0</v>
      </c>
    </row>
    <row r="70" spans="1:54" ht="14.1" customHeight="1" x14ac:dyDescent="0.25">
      <c r="A70" s="12" t="s">
        <v>71</v>
      </c>
      <c r="B70" s="13">
        <v>184</v>
      </c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5">
        <f>SUM(C70:AZ70)</f>
        <v>0</v>
      </c>
      <c r="BB70" s="13">
        <f>BA70*B70</f>
        <v>0</v>
      </c>
    </row>
    <row r="71" spans="1:54" ht="14.1" customHeight="1" x14ac:dyDescent="0.25">
      <c r="A71" s="12" t="s">
        <v>65</v>
      </c>
      <c r="B71" s="13">
        <v>191</v>
      </c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5">
        <f>SUM(C71:AZ71)</f>
        <v>0</v>
      </c>
      <c r="BB71" s="13">
        <f>BA71*B71</f>
        <v>0</v>
      </c>
    </row>
    <row r="72" spans="1:54" ht="14.1" customHeight="1" x14ac:dyDescent="0.25">
      <c r="A72" s="12" t="s">
        <v>66</v>
      </c>
      <c r="B72" s="13">
        <v>212</v>
      </c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5">
        <f>SUM(C72:AZ72)</f>
        <v>0</v>
      </c>
      <c r="BB72" s="13">
        <f>BA72*B72</f>
        <v>0</v>
      </c>
    </row>
    <row r="73" spans="1:54" ht="14.1" customHeight="1" x14ac:dyDescent="0.25">
      <c r="A73" s="12" t="s">
        <v>67</v>
      </c>
      <c r="B73" s="13">
        <v>191</v>
      </c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5">
        <f>SUM(C73:AZ73)</f>
        <v>0</v>
      </c>
      <c r="BB73" s="13">
        <f>BA73*B73</f>
        <v>0</v>
      </c>
    </row>
    <row r="74" spans="1:54" ht="14.1" customHeight="1" x14ac:dyDescent="0.25">
      <c r="A74" s="12" t="s">
        <v>68</v>
      </c>
      <c r="B74" s="13">
        <v>212</v>
      </c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5">
        <f>SUM(C74:AZ74)</f>
        <v>0</v>
      </c>
      <c r="BB74" s="13">
        <f>BA74*B74</f>
        <v>0</v>
      </c>
    </row>
    <row r="75" spans="1:54" ht="14.1" customHeight="1" x14ac:dyDescent="0.25">
      <c r="A75" s="12" t="s">
        <v>69</v>
      </c>
      <c r="B75" s="13">
        <v>212</v>
      </c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5">
        <f>SUM(C75:AZ75)</f>
        <v>0</v>
      </c>
      <c r="BB75" s="13">
        <f>BA75*B75</f>
        <v>0</v>
      </c>
    </row>
    <row r="76" spans="1:54" ht="14.1" customHeight="1" x14ac:dyDescent="0.25">
      <c r="A76" s="12" t="s">
        <v>70</v>
      </c>
      <c r="B76" s="13">
        <v>219</v>
      </c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5">
        <f>SUM(C76:AZ76)</f>
        <v>0</v>
      </c>
      <c r="BB76" s="13">
        <f>BA76*B76</f>
        <v>0</v>
      </c>
    </row>
    <row r="77" spans="1:54" ht="14.1" customHeight="1" x14ac:dyDescent="0.25">
      <c r="A77" s="12" t="s">
        <v>77</v>
      </c>
      <c r="B77" s="13">
        <v>219</v>
      </c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5">
        <f>SUM(C77:AZ77)</f>
        <v>0</v>
      </c>
      <c r="BB77" s="13">
        <f>BA77*B77</f>
        <v>0</v>
      </c>
    </row>
    <row r="78" spans="1:54" ht="14.1" customHeight="1" x14ac:dyDescent="0.25">
      <c r="A78" s="12" t="s">
        <v>75</v>
      </c>
      <c r="B78" s="13">
        <v>205</v>
      </c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5">
        <f>SUM(C78:AZ78)</f>
        <v>0</v>
      </c>
      <c r="BB78" s="13">
        <f>BA78*B78</f>
        <v>0</v>
      </c>
    </row>
    <row r="79" spans="1:54" ht="14.1" customHeight="1" x14ac:dyDescent="0.25">
      <c r="A79" s="12" t="s">
        <v>76</v>
      </c>
      <c r="B79" s="13">
        <v>219</v>
      </c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5">
        <f>SUM(C79:AZ79)</f>
        <v>0</v>
      </c>
      <c r="BB79" s="13">
        <f>BA79*B79</f>
        <v>0</v>
      </c>
    </row>
    <row r="80" spans="1:54" ht="14.1" customHeight="1" x14ac:dyDescent="0.25">
      <c r="A80" s="12" t="s">
        <v>74</v>
      </c>
      <c r="B80" s="13">
        <v>233</v>
      </c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5">
        <f>SUM(C80:AZ80)</f>
        <v>0</v>
      </c>
      <c r="BB80" s="13">
        <f>BA80*B80</f>
        <v>0</v>
      </c>
    </row>
    <row r="81" spans="1:54" ht="14.1" customHeight="1" x14ac:dyDescent="0.25">
      <c r="A81" s="12" t="s">
        <v>78</v>
      </c>
      <c r="B81" s="13">
        <v>273</v>
      </c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5">
        <f>SUM(C81:AZ81)</f>
        <v>0</v>
      </c>
      <c r="BB81" s="13">
        <f>BA81*B81</f>
        <v>0</v>
      </c>
    </row>
    <row r="82" spans="1:54" ht="14.1" customHeight="1" x14ac:dyDescent="0.25">
      <c r="A82" s="12" t="s">
        <v>79</v>
      </c>
      <c r="B82" s="13">
        <v>476</v>
      </c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5">
        <f>SUM(C82:AZ82)</f>
        <v>0</v>
      </c>
      <c r="BB82" s="13">
        <f>BA82*B82</f>
        <v>0</v>
      </c>
    </row>
    <row r="83" spans="1:54" ht="14.1" customHeight="1" x14ac:dyDescent="0.25">
      <c r="A83" s="12" t="s">
        <v>80</v>
      </c>
      <c r="B83" s="13">
        <v>205</v>
      </c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5">
        <f>SUM(C83:AZ83)</f>
        <v>0</v>
      </c>
      <c r="BB83" s="13">
        <f>BA83*B83</f>
        <v>0</v>
      </c>
    </row>
    <row r="84" spans="1:54" ht="14.1" customHeight="1" x14ac:dyDescent="0.25">
      <c r="A84" s="12" t="s">
        <v>81</v>
      </c>
      <c r="B84" s="13">
        <v>245</v>
      </c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5">
        <f>SUM(C84:AZ84)</f>
        <v>0</v>
      </c>
      <c r="BB84" s="13">
        <f>BA84*B84</f>
        <v>0</v>
      </c>
    </row>
    <row r="85" spans="1:54" ht="14.1" customHeight="1" x14ac:dyDescent="0.25">
      <c r="A85" s="12" t="s">
        <v>82</v>
      </c>
      <c r="B85" s="13">
        <v>219</v>
      </c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5">
        <f>SUM(C85:AZ85)</f>
        <v>0</v>
      </c>
      <c r="BB85" s="13">
        <f>BA85*B85</f>
        <v>0</v>
      </c>
    </row>
    <row r="86" spans="1:54" ht="14.1" customHeight="1" x14ac:dyDescent="0.25">
      <c r="A86" s="12" t="s">
        <v>83</v>
      </c>
      <c r="B86" s="13">
        <v>205</v>
      </c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5">
        <f>SUM(C86:AZ86)</f>
        <v>0</v>
      </c>
      <c r="BB86" s="13">
        <f>BA86*B86</f>
        <v>0</v>
      </c>
    </row>
    <row r="87" spans="1:54" ht="14.1" customHeight="1" x14ac:dyDescent="0.25">
      <c r="A87" s="12" t="s">
        <v>84</v>
      </c>
      <c r="B87" s="13">
        <v>224</v>
      </c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5">
        <f>SUM(C87:AZ87)</f>
        <v>0</v>
      </c>
      <c r="BB87" s="13">
        <f>BA87*B87</f>
        <v>0</v>
      </c>
    </row>
    <row r="88" spans="1:54" ht="14.1" customHeight="1" x14ac:dyDescent="0.25">
      <c r="A88" s="12" t="s">
        <v>85</v>
      </c>
      <c r="B88" s="13">
        <v>187</v>
      </c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5">
        <f>SUM(C88:AZ88)</f>
        <v>0</v>
      </c>
      <c r="BB88" s="13">
        <f>BA88*B88</f>
        <v>0</v>
      </c>
    </row>
    <row r="89" spans="1:54" ht="14.1" customHeight="1" x14ac:dyDescent="0.25">
      <c r="A89" s="12" t="s">
        <v>86</v>
      </c>
      <c r="B89" s="13">
        <v>178</v>
      </c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5">
        <f>SUM(C89:AZ89)</f>
        <v>0</v>
      </c>
      <c r="BB89" s="13">
        <f>BA89*B89</f>
        <v>0</v>
      </c>
    </row>
    <row r="90" spans="1:54" ht="14.1" customHeight="1" x14ac:dyDescent="0.25">
      <c r="A90" s="12" t="s">
        <v>87</v>
      </c>
      <c r="B90" s="13">
        <v>191</v>
      </c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5">
        <f>SUM(C90:AZ90)</f>
        <v>0</v>
      </c>
      <c r="BB90" s="13">
        <f>BA90*B90</f>
        <v>0</v>
      </c>
    </row>
    <row r="91" spans="1:54" ht="14.1" customHeight="1" x14ac:dyDescent="0.25">
      <c r="A91" s="12" t="s">
        <v>231</v>
      </c>
      <c r="B91" s="13">
        <v>178</v>
      </c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5">
        <f>SUM(C91:AZ91)</f>
        <v>0</v>
      </c>
      <c r="BB91" s="13">
        <f>BA91*B91</f>
        <v>0</v>
      </c>
    </row>
    <row r="92" spans="1:54" ht="14.1" customHeight="1" x14ac:dyDescent="0.25">
      <c r="A92" s="12" t="s">
        <v>90</v>
      </c>
      <c r="B92" s="13">
        <v>219</v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5">
        <f>SUM(C92:AZ92)</f>
        <v>0</v>
      </c>
      <c r="BB92" s="13">
        <f>BA92*B92</f>
        <v>0</v>
      </c>
    </row>
    <row r="93" spans="1:54" x14ac:dyDescent="0.25">
      <c r="A93" s="10" t="s">
        <v>94</v>
      </c>
      <c r="B93" s="11"/>
      <c r="C93" s="11"/>
      <c r="D93" s="11"/>
      <c r="E93" s="11"/>
      <c r="F93" s="11"/>
      <c r="G93" s="11"/>
      <c r="H93" s="11"/>
      <c r="I93" s="11"/>
      <c r="J93" s="11"/>
      <c r="K93" s="11"/>
      <c r="L93" s="11"/>
      <c r="M93" s="11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  <c r="AA93" s="11"/>
      <c r="AB93" s="11"/>
      <c r="AC93" s="11"/>
      <c r="AD93" s="11"/>
      <c r="AE93" s="11"/>
      <c r="AF93" s="11"/>
      <c r="AG93" s="11"/>
      <c r="AH93" s="11"/>
      <c r="AI93" s="11"/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</row>
    <row r="94" spans="1:54" ht="14.1" customHeight="1" x14ac:dyDescent="0.25">
      <c r="A94" s="12" t="s">
        <v>193</v>
      </c>
      <c r="B94" s="13">
        <v>96</v>
      </c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5">
        <f>SUM(C94:AZ94)</f>
        <v>0</v>
      </c>
      <c r="BB94" s="13">
        <f>BA94*B94</f>
        <v>0</v>
      </c>
    </row>
    <row r="95" spans="1:54" ht="14.1" customHeight="1" x14ac:dyDescent="0.25">
      <c r="A95" s="12" t="s">
        <v>96</v>
      </c>
      <c r="B95" s="13">
        <v>96</v>
      </c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5">
        <f>SUM(C95:AZ95)</f>
        <v>0</v>
      </c>
      <c r="BB95" s="13">
        <f>BA95*B95</f>
        <v>0</v>
      </c>
    </row>
    <row r="96" spans="1:54" ht="14.1" customHeight="1" x14ac:dyDescent="0.25">
      <c r="A96" s="12" t="s">
        <v>207</v>
      </c>
      <c r="B96" s="13">
        <v>129</v>
      </c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5">
        <f>SUM(C96:AZ96)</f>
        <v>0</v>
      </c>
      <c r="BB96" s="13">
        <f>BA96*B96</f>
        <v>0</v>
      </c>
    </row>
    <row r="97" spans="1:54" ht="14.1" customHeight="1" x14ac:dyDescent="0.25">
      <c r="A97" s="12" t="s">
        <v>95</v>
      </c>
      <c r="B97" s="13">
        <v>102</v>
      </c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5">
        <f>SUM(C97:AZ97)</f>
        <v>0</v>
      </c>
      <c r="BB97" s="13">
        <f>BA97*B97</f>
        <v>0</v>
      </c>
    </row>
    <row r="98" spans="1:54" x14ac:dyDescent="0.25">
      <c r="A98" s="10" t="s">
        <v>99</v>
      </c>
      <c r="B98" s="11"/>
      <c r="C98" s="11"/>
      <c r="D98" s="11"/>
      <c r="E98" s="11"/>
      <c r="F98" s="11"/>
      <c r="G98" s="11"/>
      <c r="H98" s="11"/>
      <c r="I98" s="11"/>
      <c r="J98" s="11"/>
      <c r="K98" s="11"/>
      <c r="L98" s="11"/>
      <c r="M98" s="11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  <c r="AA98" s="11"/>
      <c r="AB98" s="11"/>
      <c r="AC98" s="11"/>
      <c r="AD98" s="11"/>
      <c r="AE98" s="11"/>
      <c r="AF98" s="11"/>
      <c r="AG98" s="11"/>
      <c r="AH98" s="11"/>
      <c r="AI98" s="11"/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</row>
    <row r="99" spans="1:54" ht="14.1" customHeight="1" x14ac:dyDescent="0.25">
      <c r="A99" s="12" t="s">
        <v>100</v>
      </c>
      <c r="B99" s="13">
        <v>96</v>
      </c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5">
        <f>SUM(C99:AZ99)</f>
        <v>0</v>
      </c>
      <c r="BB99" s="13">
        <f>BA99*B99</f>
        <v>0</v>
      </c>
    </row>
    <row r="100" spans="1:54" ht="14.1" customHeight="1" x14ac:dyDescent="0.25">
      <c r="A100" s="12" t="s">
        <v>102</v>
      </c>
      <c r="B100" s="13">
        <v>98</v>
      </c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5">
        <f>SUM(C100:AZ100)</f>
        <v>0</v>
      </c>
      <c r="BB100" s="13">
        <f>BA100*B100</f>
        <v>0</v>
      </c>
    </row>
    <row r="101" spans="1:54" ht="14.1" customHeight="1" x14ac:dyDescent="0.25">
      <c r="A101" s="12" t="s">
        <v>103</v>
      </c>
      <c r="B101" s="13">
        <v>140</v>
      </c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5">
        <f>SUM(C101:AZ101)</f>
        <v>0</v>
      </c>
      <c r="BB101" s="13">
        <f>BA101*B101</f>
        <v>0</v>
      </c>
    </row>
    <row r="102" spans="1:54" ht="14.1" customHeight="1" x14ac:dyDescent="0.25">
      <c r="A102" s="12" t="s">
        <v>104</v>
      </c>
      <c r="B102" s="13">
        <v>161</v>
      </c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5">
        <f>SUM(C102:AZ102)</f>
        <v>0</v>
      </c>
      <c r="BB102" s="13">
        <f>BA102*B102</f>
        <v>0</v>
      </c>
    </row>
    <row r="103" spans="1:54" ht="14.1" customHeight="1" x14ac:dyDescent="0.25">
      <c r="A103" s="12" t="s">
        <v>105</v>
      </c>
      <c r="B103" s="13">
        <v>127</v>
      </c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5">
        <f>SUM(C103:AZ103)</f>
        <v>0</v>
      </c>
      <c r="BB103" s="13">
        <f>BA103*B103</f>
        <v>0</v>
      </c>
    </row>
    <row r="104" spans="1:54" ht="14.1" customHeight="1" x14ac:dyDescent="0.25">
      <c r="A104" s="12" t="s">
        <v>101</v>
      </c>
      <c r="B104" s="13">
        <v>178</v>
      </c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5">
        <f>SUM(C104:AZ104)</f>
        <v>0</v>
      </c>
      <c r="BB104" s="13">
        <f>BA104*B104</f>
        <v>0</v>
      </c>
    </row>
    <row r="105" spans="1:54" ht="14.1" customHeight="1" x14ac:dyDescent="0.25">
      <c r="A105" s="12" t="s">
        <v>106</v>
      </c>
      <c r="B105" s="13">
        <v>157</v>
      </c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5">
        <f>SUM(C105:AZ105)</f>
        <v>0</v>
      </c>
      <c r="BB105" s="13">
        <f>BA105*B105</f>
        <v>0</v>
      </c>
    </row>
    <row r="106" spans="1:54" ht="14.1" customHeight="1" x14ac:dyDescent="0.25">
      <c r="A106" s="12" t="s">
        <v>107</v>
      </c>
      <c r="B106" s="13">
        <v>178</v>
      </c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5">
        <f>SUM(C106:AZ106)</f>
        <v>0</v>
      </c>
      <c r="BB106" s="13">
        <f>BA106*B106</f>
        <v>0</v>
      </c>
    </row>
    <row r="107" spans="1:54" ht="14.1" customHeight="1" x14ac:dyDescent="0.25">
      <c r="A107" s="12" t="s">
        <v>108</v>
      </c>
      <c r="B107" s="13">
        <v>151</v>
      </c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5">
        <f>SUM(C107:AZ107)</f>
        <v>0</v>
      </c>
      <c r="BB107" s="13">
        <f>BA107*B107</f>
        <v>0</v>
      </c>
    </row>
    <row r="108" spans="1:54" ht="14.1" customHeight="1" x14ac:dyDescent="0.25">
      <c r="A108" s="12" t="s">
        <v>109</v>
      </c>
      <c r="B108" s="13">
        <v>117</v>
      </c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5">
        <f>SUM(C108:AZ108)</f>
        <v>0</v>
      </c>
      <c r="BB108" s="13">
        <f>BA108*B108</f>
        <v>0</v>
      </c>
    </row>
    <row r="109" spans="1:54" ht="14.1" customHeight="1" x14ac:dyDescent="0.25">
      <c r="A109" s="12" t="s">
        <v>110</v>
      </c>
      <c r="B109" s="13">
        <v>151</v>
      </c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5">
        <f>SUM(C109:AZ109)</f>
        <v>0</v>
      </c>
      <c r="BB109" s="13">
        <f>BA109*B109</f>
        <v>0</v>
      </c>
    </row>
    <row r="110" spans="1:54" x14ac:dyDescent="0.25">
      <c r="A110" s="10" t="s">
        <v>111</v>
      </c>
      <c r="B110" s="11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</row>
    <row r="111" spans="1:54" ht="14.1" customHeight="1" x14ac:dyDescent="0.25">
      <c r="A111" s="12" t="s">
        <v>112</v>
      </c>
      <c r="B111" s="13">
        <v>164</v>
      </c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5">
        <f>SUM(C111:AZ111)</f>
        <v>0</v>
      </c>
      <c r="BB111" s="13">
        <f>BA111*B111</f>
        <v>0</v>
      </c>
    </row>
    <row r="112" spans="1:54" ht="14.1" customHeight="1" x14ac:dyDescent="0.25">
      <c r="A112" s="12" t="s">
        <v>113</v>
      </c>
      <c r="B112" s="13">
        <v>172</v>
      </c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5">
        <f>SUM(C112:AZ112)</f>
        <v>0</v>
      </c>
      <c r="BB112" s="13">
        <f>BA112*B112</f>
        <v>0</v>
      </c>
    </row>
    <row r="113" spans="1:54" ht="14.1" customHeight="1" x14ac:dyDescent="0.25">
      <c r="A113" s="12" t="s">
        <v>114</v>
      </c>
      <c r="B113" s="13">
        <v>187</v>
      </c>
      <c r="C113" s="14"/>
      <c r="D113" s="14"/>
      <c r="E113" s="14"/>
      <c r="F113" s="14"/>
      <c r="G113" s="14"/>
      <c r="H113" s="14"/>
      <c r="I113" s="14"/>
      <c r="J113" s="14"/>
      <c r="K113" s="14"/>
      <c r="L113" s="14"/>
      <c r="M113" s="14"/>
      <c r="N113" s="14"/>
      <c r="O113" s="14"/>
      <c r="P113" s="14"/>
      <c r="Q113" s="14"/>
      <c r="R113" s="14"/>
      <c r="S113" s="14"/>
      <c r="T113" s="14"/>
      <c r="U113" s="14"/>
      <c r="V113" s="14"/>
      <c r="W113" s="14"/>
      <c r="X113" s="14"/>
      <c r="Y113" s="14"/>
      <c r="Z113" s="14"/>
      <c r="AA113" s="14"/>
      <c r="AB113" s="14"/>
      <c r="AC113" s="14"/>
      <c r="AD113" s="14"/>
      <c r="AE113" s="14"/>
      <c r="AF113" s="14"/>
      <c r="AG113" s="14"/>
      <c r="AH113" s="14"/>
      <c r="AI113" s="14"/>
      <c r="AJ113" s="14"/>
      <c r="AK113" s="14"/>
      <c r="AL113" s="14"/>
      <c r="AM113" s="14"/>
      <c r="AN113" s="14"/>
      <c r="AO113" s="14"/>
      <c r="AP113" s="14"/>
      <c r="AQ113" s="14"/>
      <c r="AR113" s="14"/>
      <c r="AS113" s="14"/>
      <c r="AT113" s="14"/>
      <c r="AU113" s="14"/>
      <c r="AV113" s="14"/>
      <c r="AW113" s="14"/>
      <c r="AX113" s="14"/>
      <c r="AY113" s="14"/>
      <c r="AZ113" s="14"/>
      <c r="BA113" s="15">
        <f>SUM(C113:AZ113)</f>
        <v>0</v>
      </c>
      <c r="BB113" s="13">
        <f>BA113*B113</f>
        <v>0</v>
      </c>
    </row>
    <row r="114" spans="1:54" ht="14.1" customHeight="1" x14ac:dyDescent="0.25">
      <c r="A114" s="12" t="s">
        <v>116</v>
      </c>
      <c r="B114" s="13">
        <v>179</v>
      </c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5">
        <f>SUM(C114:AZ114)</f>
        <v>0</v>
      </c>
      <c r="BB114" s="13">
        <f>BA114*B114</f>
        <v>0</v>
      </c>
    </row>
    <row r="115" spans="1:54" ht="14.1" customHeight="1" x14ac:dyDescent="0.25">
      <c r="A115" s="12" t="s">
        <v>115</v>
      </c>
      <c r="B115" s="13">
        <v>164</v>
      </c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5">
        <f>SUM(C115:AZ115)</f>
        <v>0</v>
      </c>
      <c r="BB115" s="13">
        <f>BA115*B115</f>
        <v>0</v>
      </c>
    </row>
    <row r="116" spans="1:54" x14ac:dyDescent="0.25">
      <c r="A116" s="10" t="s">
        <v>117</v>
      </c>
      <c r="B116" s="11"/>
      <c r="C116" s="11"/>
      <c r="D116" s="11"/>
      <c r="E116" s="11"/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  <c r="AA116" s="11"/>
      <c r="AB116" s="11"/>
      <c r="AC116" s="11"/>
      <c r="AD116" s="11"/>
      <c r="AE116" s="11"/>
      <c r="AF116" s="11"/>
      <c r="AG116" s="11"/>
      <c r="AH116" s="11"/>
      <c r="AI116" s="11"/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</row>
    <row r="117" spans="1:54" ht="14.1" customHeight="1" x14ac:dyDescent="0.25">
      <c r="A117" s="12" t="s">
        <v>118</v>
      </c>
      <c r="B117" s="13">
        <v>164</v>
      </c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5">
        <f>SUM(C117:AZ117)</f>
        <v>0</v>
      </c>
      <c r="BB117" s="13">
        <f>BA117*B117</f>
        <v>0</v>
      </c>
    </row>
    <row r="118" spans="1:54" ht="14.1" customHeight="1" x14ac:dyDescent="0.25">
      <c r="A118" s="12" t="s">
        <v>119</v>
      </c>
      <c r="B118" s="13">
        <v>149</v>
      </c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5">
        <f>SUM(C118:AZ118)</f>
        <v>0</v>
      </c>
      <c r="BB118" s="13">
        <f>BA118*B118</f>
        <v>0</v>
      </c>
    </row>
    <row r="119" spans="1:54" ht="14.1" customHeight="1" x14ac:dyDescent="0.25">
      <c r="A119" s="12" t="s">
        <v>120</v>
      </c>
      <c r="B119" s="13">
        <v>149</v>
      </c>
      <c r="C119" s="14"/>
      <c r="D119" s="14"/>
      <c r="E119" s="14"/>
      <c r="F119" s="14"/>
      <c r="G119" s="14"/>
      <c r="H119" s="14"/>
      <c r="I119" s="14"/>
      <c r="J119" s="14"/>
      <c r="K119" s="14"/>
      <c r="L119" s="14"/>
      <c r="M119" s="14"/>
      <c r="N119" s="14"/>
      <c r="O119" s="14"/>
      <c r="P119" s="14"/>
      <c r="Q119" s="14"/>
      <c r="R119" s="14"/>
      <c r="S119" s="14"/>
      <c r="T119" s="14"/>
      <c r="U119" s="14"/>
      <c r="V119" s="14"/>
      <c r="W119" s="14"/>
      <c r="X119" s="14"/>
      <c r="Y119" s="14"/>
      <c r="Z119" s="14"/>
      <c r="AA119" s="14"/>
      <c r="AB119" s="14"/>
      <c r="AC119" s="14"/>
      <c r="AD119" s="14"/>
      <c r="AE119" s="14"/>
      <c r="AF119" s="14"/>
      <c r="AG119" s="14"/>
      <c r="AH119" s="14"/>
      <c r="AI119" s="14"/>
      <c r="AJ119" s="14"/>
      <c r="AK119" s="14"/>
      <c r="AL119" s="14"/>
      <c r="AM119" s="14"/>
      <c r="AN119" s="14"/>
      <c r="AO119" s="14"/>
      <c r="AP119" s="14"/>
      <c r="AQ119" s="14"/>
      <c r="AR119" s="14"/>
      <c r="AS119" s="14"/>
      <c r="AT119" s="14"/>
      <c r="AU119" s="14"/>
      <c r="AV119" s="14"/>
      <c r="AW119" s="14"/>
      <c r="AX119" s="14"/>
      <c r="AY119" s="14"/>
      <c r="AZ119" s="14"/>
      <c r="BA119" s="15">
        <f>SUM(C119:AZ119)</f>
        <v>0</v>
      </c>
      <c r="BB119" s="13">
        <f>BA119*B119</f>
        <v>0</v>
      </c>
    </row>
    <row r="120" spans="1:54" ht="14.1" customHeight="1" x14ac:dyDescent="0.25">
      <c r="A120" s="12" t="s">
        <v>121</v>
      </c>
      <c r="B120" s="13">
        <v>164</v>
      </c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5">
        <f>SUM(C120:AZ120)</f>
        <v>0</v>
      </c>
      <c r="BB120" s="13">
        <f>BA120*B120</f>
        <v>0</v>
      </c>
    </row>
    <row r="121" spans="1:54" ht="14.1" customHeight="1" x14ac:dyDescent="0.25">
      <c r="A121" s="12" t="s">
        <v>122</v>
      </c>
      <c r="B121" s="13">
        <v>164</v>
      </c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5">
        <f>SUM(C121:AZ121)</f>
        <v>0</v>
      </c>
      <c r="BB121" s="13">
        <f>BA121*B121</f>
        <v>0</v>
      </c>
    </row>
    <row r="122" spans="1:54" ht="14.1" customHeight="1" x14ac:dyDescent="0.25">
      <c r="A122" s="12" t="s">
        <v>123</v>
      </c>
      <c r="B122" s="13">
        <v>164</v>
      </c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5">
        <f>SUM(C122:AZ122)</f>
        <v>0</v>
      </c>
      <c r="BB122" s="13">
        <f>BA122*B122</f>
        <v>0</v>
      </c>
    </row>
    <row r="123" spans="1:54" ht="14.1" customHeight="1" x14ac:dyDescent="0.25">
      <c r="A123" s="12" t="s">
        <v>124</v>
      </c>
      <c r="B123" s="13">
        <v>149</v>
      </c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5">
        <f>SUM(C123:AZ123)</f>
        <v>0</v>
      </c>
      <c r="BB123" s="13">
        <f>BA123*B123</f>
        <v>0</v>
      </c>
    </row>
    <row r="124" spans="1:54" ht="14.1" customHeight="1" x14ac:dyDescent="0.25">
      <c r="A124" s="12" t="s">
        <v>125</v>
      </c>
      <c r="B124" s="13">
        <v>194</v>
      </c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5">
        <f>SUM(C124:AZ124)</f>
        <v>0</v>
      </c>
      <c r="BB124" s="13">
        <f>BA124*B124</f>
        <v>0</v>
      </c>
    </row>
    <row r="125" spans="1:54" ht="14.1" customHeight="1" x14ac:dyDescent="0.25">
      <c r="A125" s="12" t="s">
        <v>126</v>
      </c>
      <c r="B125" s="13">
        <v>164</v>
      </c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5">
        <f>SUM(C125:AZ125)</f>
        <v>0</v>
      </c>
      <c r="BB125" s="13">
        <f>BA125*B125</f>
        <v>0</v>
      </c>
    </row>
    <row r="126" spans="1:54" ht="14.1" customHeight="1" x14ac:dyDescent="0.25">
      <c r="A126" s="12" t="s">
        <v>127</v>
      </c>
      <c r="B126" s="13">
        <v>164</v>
      </c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5">
        <f>SUM(C126:AZ126)</f>
        <v>0</v>
      </c>
      <c r="BB126" s="13">
        <f>BA126*B126</f>
        <v>0</v>
      </c>
    </row>
    <row r="127" spans="1:54" ht="14.1" customHeight="1" x14ac:dyDescent="0.25">
      <c r="A127" s="12" t="s">
        <v>128</v>
      </c>
      <c r="B127" s="13">
        <v>283</v>
      </c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5">
        <f>SUM(C127:AZ127)</f>
        <v>0</v>
      </c>
      <c r="BB127" s="13">
        <f>BA127*B127</f>
        <v>0</v>
      </c>
    </row>
    <row r="128" spans="1:54" ht="14.1" customHeight="1" x14ac:dyDescent="0.25">
      <c r="A128" s="12" t="s">
        <v>129</v>
      </c>
      <c r="B128" s="13">
        <v>142</v>
      </c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5">
        <f>SUM(C128:AZ128)</f>
        <v>0</v>
      </c>
      <c r="BB128" s="13">
        <f>BA128*B128</f>
        <v>0</v>
      </c>
    </row>
    <row r="129" spans="1:54" ht="14.1" customHeight="1" x14ac:dyDescent="0.25">
      <c r="A129" s="12" t="s">
        <v>130</v>
      </c>
      <c r="B129" s="13">
        <v>194</v>
      </c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5">
        <f>SUM(C129:AZ129)</f>
        <v>0</v>
      </c>
      <c r="BB129" s="13">
        <f>BA129*B129</f>
        <v>0</v>
      </c>
    </row>
    <row r="130" spans="1:54" ht="14.1" customHeight="1" x14ac:dyDescent="0.25">
      <c r="A130" s="12" t="s">
        <v>132</v>
      </c>
      <c r="B130" s="13">
        <v>164</v>
      </c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5">
        <f>SUM(C130:AZ130)</f>
        <v>0</v>
      </c>
      <c r="BB130" s="13">
        <f>BA130*B130</f>
        <v>0</v>
      </c>
    </row>
    <row r="131" spans="1:54" ht="14.1" customHeight="1" x14ac:dyDescent="0.25">
      <c r="A131" s="12" t="s">
        <v>131</v>
      </c>
      <c r="B131" s="13">
        <v>164</v>
      </c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5">
        <f>SUM(C131:AZ131)</f>
        <v>0</v>
      </c>
      <c r="BB131" s="13">
        <f>BA131*B131</f>
        <v>0</v>
      </c>
    </row>
    <row r="132" spans="1:54" ht="14.1" customHeight="1" x14ac:dyDescent="0.25">
      <c r="A132" s="12" t="s">
        <v>135</v>
      </c>
      <c r="B132" s="13">
        <v>230</v>
      </c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5">
        <f>SUM(C132:AZ132)</f>
        <v>0</v>
      </c>
      <c r="BB132" s="13">
        <f>BA132*B132</f>
        <v>0</v>
      </c>
    </row>
    <row r="133" spans="1:54" ht="14.1" customHeight="1" x14ac:dyDescent="0.25">
      <c r="A133" s="12" t="s">
        <v>133</v>
      </c>
      <c r="B133" s="13">
        <v>239</v>
      </c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5">
        <f>SUM(C133:AZ133)</f>
        <v>0</v>
      </c>
      <c r="BB133" s="13">
        <f>BA133*B133</f>
        <v>0</v>
      </c>
    </row>
    <row r="134" spans="1:54" ht="14.1" customHeight="1" x14ac:dyDescent="0.25">
      <c r="A134" s="12" t="s">
        <v>134</v>
      </c>
      <c r="B134" s="13">
        <v>207</v>
      </c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5">
        <f>SUM(C134:AZ134)</f>
        <v>0</v>
      </c>
      <c r="BB134" s="13">
        <f>BA134*B134</f>
        <v>0</v>
      </c>
    </row>
    <row r="135" spans="1:54" x14ac:dyDescent="0.25">
      <c r="A135" s="10" t="s">
        <v>136</v>
      </c>
      <c r="B135" s="11"/>
      <c r="C135" s="11"/>
      <c r="D135" s="11"/>
      <c r="E135" s="11"/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</row>
    <row r="136" spans="1:54" ht="14.1" customHeight="1" x14ac:dyDescent="0.25">
      <c r="A136" s="12" t="s">
        <v>137</v>
      </c>
      <c r="B136" s="13">
        <v>72</v>
      </c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5">
        <f>SUM(C136:AZ136)</f>
        <v>0</v>
      </c>
      <c r="BB136" s="13">
        <f>BA136*B136</f>
        <v>0</v>
      </c>
    </row>
    <row r="137" spans="1:54" ht="14.1" customHeight="1" x14ac:dyDescent="0.25">
      <c r="A137" s="12" t="s">
        <v>138</v>
      </c>
      <c r="B137" s="13">
        <v>63</v>
      </c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5">
        <f>SUM(C137:AZ137)</f>
        <v>0</v>
      </c>
      <c r="BB137" s="13">
        <f>BA137*B137</f>
        <v>0</v>
      </c>
    </row>
    <row r="138" spans="1:54" ht="14.1" customHeight="1" x14ac:dyDescent="0.25">
      <c r="A138" s="12" t="s">
        <v>139</v>
      </c>
      <c r="B138" s="13">
        <v>86</v>
      </c>
      <c r="C138" s="14"/>
      <c r="D138" s="14"/>
      <c r="E138" s="14"/>
      <c r="F138" s="14"/>
      <c r="G138" s="14"/>
      <c r="H138" s="14"/>
      <c r="I138" s="14"/>
      <c r="J138" s="14"/>
      <c r="K138" s="14"/>
      <c r="L138" s="14"/>
      <c r="M138" s="14"/>
      <c r="N138" s="14"/>
      <c r="O138" s="14"/>
      <c r="P138" s="14"/>
      <c r="Q138" s="14"/>
      <c r="R138" s="14"/>
      <c r="S138" s="14"/>
      <c r="T138" s="14"/>
      <c r="U138" s="14"/>
      <c r="V138" s="14"/>
      <c r="W138" s="14"/>
      <c r="X138" s="14"/>
      <c r="Y138" s="14"/>
      <c r="Z138" s="14"/>
      <c r="AA138" s="14"/>
      <c r="AB138" s="14"/>
      <c r="AC138" s="14"/>
      <c r="AD138" s="14"/>
      <c r="AE138" s="14"/>
      <c r="AF138" s="14"/>
      <c r="AG138" s="14"/>
      <c r="AH138" s="14"/>
      <c r="AI138" s="14"/>
      <c r="AJ138" s="14"/>
      <c r="AK138" s="14"/>
      <c r="AL138" s="14"/>
      <c r="AM138" s="14"/>
      <c r="AN138" s="14"/>
      <c r="AO138" s="14"/>
      <c r="AP138" s="14"/>
      <c r="AQ138" s="14"/>
      <c r="AR138" s="14"/>
      <c r="AS138" s="14"/>
      <c r="AT138" s="14"/>
      <c r="AU138" s="14"/>
      <c r="AV138" s="14"/>
      <c r="AW138" s="14"/>
      <c r="AX138" s="14"/>
      <c r="AY138" s="14"/>
      <c r="AZ138" s="14"/>
      <c r="BA138" s="15">
        <f>SUM(C138:AZ138)</f>
        <v>0</v>
      </c>
      <c r="BB138" s="13">
        <f>BA138*B138</f>
        <v>0</v>
      </c>
    </row>
    <row r="139" spans="1:54" ht="14.1" customHeight="1" x14ac:dyDescent="0.25">
      <c r="A139" s="12" t="s">
        <v>140</v>
      </c>
      <c r="B139" s="13">
        <v>72</v>
      </c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5">
        <f>SUM(C139:AZ139)</f>
        <v>0</v>
      </c>
      <c r="BB139" s="13">
        <f>BA139*B139</f>
        <v>0</v>
      </c>
    </row>
    <row r="140" spans="1:54" ht="14.1" customHeight="1" x14ac:dyDescent="0.25">
      <c r="A140" s="12" t="s">
        <v>141</v>
      </c>
      <c r="B140" s="13">
        <v>72</v>
      </c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5">
        <f>SUM(C140:AZ140)</f>
        <v>0</v>
      </c>
      <c r="BB140" s="13">
        <f>BA140*B140</f>
        <v>0</v>
      </c>
    </row>
    <row r="141" spans="1:54" ht="14.1" customHeight="1" x14ac:dyDescent="0.25">
      <c r="A141" s="12" t="s">
        <v>159</v>
      </c>
      <c r="B141" s="13">
        <v>151</v>
      </c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5">
        <f>SUM(C141:AZ141)</f>
        <v>0</v>
      </c>
      <c r="BB141" s="13">
        <f>BA141*B141</f>
        <v>0</v>
      </c>
    </row>
    <row r="142" spans="1:54" ht="14.1" customHeight="1" x14ac:dyDescent="0.25">
      <c r="A142" s="12" t="s">
        <v>142</v>
      </c>
      <c r="B142" s="13">
        <v>76</v>
      </c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5">
        <f>SUM(C142:AZ142)</f>
        <v>0</v>
      </c>
      <c r="BB142" s="13">
        <f>BA142*B142</f>
        <v>0</v>
      </c>
    </row>
    <row r="143" spans="1:54" ht="14.1" customHeight="1" x14ac:dyDescent="0.25">
      <c r="A143" s="12" t="s">
        <v>143</v>
      </c>
      <c r="B143" s="13">
        <v>72</v>
      </c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5">
        <f>SUM(C143:AZ143)</f>
        <v>0</v>
      </c>
      <c r="BB143" s="13">
        <f>BA143*B143</f>
        <v>0</v>
      </c>
    </row>
    <row r="144" spans="1:54" ht="14.1" customHeight="1" x14ac:dyDescent="0.25">
      <c r="A144" s="12" t="s">
        <v>144</v>
      </c>
      <c r="B144" s="13">
        <v>72</v>
      </c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5">
        <f>SUM(C144:AZ144)</f>
        <v>0</v>
      </c>
      <c r="BB144" s="13">
        <f>BA144*B144</f>
        <v>0</v>
      </c>
    </row>
    <row r="145" spans="1:54" ht="14.1" customHeight="1" x14ac:dyDescent="0.25">
      <c r="A145" s="12" t="s">
        <v>146</v>
      </c>
      <c r="B145" s="13">
        <v>86</v>
      </c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5">
        <f>SUM(C145:AZ145)</f>
        <v>0</v>
      </c>
      <c r="BB145" s="13">
        <f>BA145*B145</f>
        <v>0</v>
      </c>
    </row>
    <row r="146" spans="1:54" ht="14.1" customHeight="1" x14ac:dyDescent="0.25">
      <c r="A146" s="12" t="s">
        <v>145</v>
      </c>
      <c r="B146" s="13">
        <v>103</v>
      </c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5">
        <f>SUM(C146:AZ146)</f>
        <v>0</v>
      </c>
      <c r="BB146" s="13">
        <f>BA146*B146</f>
        <v>0</v>
      </c>
    </row>
    <row r="147" spans="1:54" ht="14.1" customHeight="1" x14ac:dyDescent="0.25">
      <c r="A147" s="12" t="s">
        <v>147</v>
      </c>
      <c r="B147" s="13">
        <v>137</v>
      </c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5">
        <f>SUM(C147:AZ147)</f>
        <v>0</v>
      </c>
      <c r="BB147" s="13">
        <f>BA147*B147</f>
        <v>0</v>
      </c>
    </row>
    <row r="148" spans="1:54" ht="14.1" customHeight="1" x14ac:dyDescent="0.25">
      <c r="A148" s="12" t="s">
        <v>148</v>
      </c>
      <c r="B148" s="13">
        <v>151</v>
      </c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5">
        <f>SUM(C148:AZ148)</f>
        <v>0</v>
      </c>
      <c r="BB148" s="13">
        <f>BA148*B148</f>
        <v>0</v>
      </c>
    </row>
    <row r="149" spans="1:54" ht="14.1" customHeight="1" x14ac:dyDescent="0.25">
      <c r="A149" s="12" t="s">
        <v>155</v>
      </c>
      <c r="B149" s="13">
        <v>137</v>
      </c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5">
        <f>SUM(C149:AZ149)</f>
        <v>0</v>
      </c>
      <c r="BB149" s="13">
        <f>BA149*B149</f>
        <v>0</v>
      </c>
    </row>
    <row r="150" spans="1:54" ht="14.1" customHeight="1" x14ac:dyDescent="0.25">
      <c r="A150" s="12" t="s">
        <v>149</v>
      </c>
      <c r="B150" s="13">
        <v>157</v>
      </c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5">
        <f>SUM(C150:AZ150)</f>
        <v>0</v>
      </c>
      <c r="BB150" s="13">
        <f>BA150*B150</f>
        <v>0</v>
      </c>
    </row>
    <row r="151" spans="1:54" ht="14.1" customHeight="1" x14ac:dyDescent="0.25">
      <c r="A151" s="12" t="s">
        <v>150</v>
      </c>
      <c r="B151" s="13">
        <v>137</v>
      </c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5">
        <f>SUM(C151:AZ151)</f>
        <v>0</v>
      </c>
      <c r="BB151" s="13">
        <f>BA151*B151</f>
        <v>0</v>
      </c>
    </row>
    <row r="152" spans="1:54" ht="14.1" customHeight="1" x14ac:dyDescent="0.25">
      <c r="A152" s="12" t="s">
        <v>151</v>
      </c>
      <c r="B152" s="13">
        <v>69</v>
      </c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5">
        <f>SUM(C152:AZ152)</f>
        <v>0</v>
      </c>
      <c r="BB152" s="13">
        <f>BA152*B152</f>
        <v>0</v>
      </c>
    </row>
    <row r="153" spans="1:54" ht="14.1" customHeight="1" x14ac:dyDescent="0.25">
      <c r="A153" s="12" t="s">
        <v>152</v>
      </c>
      <c r="B153" s="13">
        <v>75</v>
      </c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5">
        <f>SUM(C153:AZ153)</f>
        <v>0</v>
      </c>
      <c r="BB153" s="13">
        <f>BA153*B153</f>
        <v>0</v>
      </c>
    </row>
    <row r="154" spans="1:54" ht="14.1" customHeight="1" x14ac:dyDescent="0.25">
      <c r="A154" s="12" t="s">
        <v>153</v>
      </c>
      <c r="B154" s="13">
        <v>69</v>
      </c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5">
        <f>SUM(C154:AZ154)</f>
        <v>0</v>
      </c>
      <c r="BB154" s="13">
        <f>BA154*B154</f>
        <v>0</v>
      </c>
    </row>
    <row r="155" spans="1:54" ht="14.1" customHeight="1" x14ac:dyDescent="0.25">
      <c r="A155" s="12" t="s">
        <v>154</v>
      </c>
      <c r="B155" s="13">
        <v>75</v>
      </c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5">
        <f>SUM(C155:AZ155)</f>
        <v>0</v>
      </c>
      <c r="BB155" s="13">
        <f>BA155*B155</f>
        <v>0</v>
      </c>
    </row>
    <row r="156" spans="1:54" ht="14.1" customHeight="1" x14ac:dyDescent="0.25">
      <c r="A156" s="12" t="s">
        <v>157</v>
      </c>
      <c r="B156" s="13">
        <v>144</v>
      </c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5">
        <f>SUM(C156:AZ156)</f>
        <v>0</v>
      </c>
      <c r="BB156" s="13">
        <f>BA156*B156</f>
        <v>0</v>
      </c>
    </row>
    <row r="157" spans="1:54" ht="14.1" customHeight="1" x14ac:dyDescent="0.25">
      <c r="A157" s="12" t="s">
        <v>158</v>
      </c>
      <c r="B157" s="13">
        <v>152</v>
      </c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5">
        <f>SUM(C157:AZ157)</f>
        <v>0</v>
      </c>
      <c r="BB157" s="13">
        <f>BA157*B157</f>
        <v>0</v>
      </c>
    </row>
    <row r="158" spans="1:54" ht="14.1" customHeight="1" x14ac:dyDescent="0.25">
      <c r="A158" s="12" t="s">
        <v>156</v>
      </c>
      <c r="B158" s="13">
        <v>99</v>
      </c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5">
        <f>SUM(C158:AZ158)</f>
        <v>0</v>
      </c>
      <c r="BB158" s="13">
        <f>BA158*B158</f>
        <v>0</v>
      </c>
    </row>
    <row r="159" spans="1:54" x14ac:dyDescent="0.25">
      <c r="A159" s="10" t="s">
        <v>160</v>
      </c>
      <c r="B159" s="11"/>
      <c r="C159" s="11"/>
      <c r="D159" s="11"/>
      <c r="E159" s="11"/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</row>
    <row r="160" spans="1:54" ht="14.1" customHeight="1" x14ac:dyDescent="0.25">
      <c r="A160" s="12" t="s">
        <v>162</v>
      </c>
      <c r="B160" s="13">
        <v>46</v>
      </c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5">
        <f>SUM(C160:AZ160)</f>
        <v>0</v>
      </c>
      <c r="BB160" s="13">
        <f>BA160*B160</f>
        <v>0</v>
      </c>
    </row>
    <row r="161" spans="1:54" ht="14.1" customHeight="1" x14ac:dyDescent="0.25">
      <c r="A161" s="12" t="s">
        <v>161</v>
      </c>
      <c r="B161" s="13">
        <v>46</v>
      </c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5">
        <f>SUM(C161:AZ161)</f>
        <v>0</v>
      </c>
      <c r="BB161" s="13">
        <f>BA161*B161</f>
        <v>0</v>
      </c>
    </row>
    <row r="162" spans="1:54" ht="14.1" customHeight="1" x14ac:dyDescent="0.25">
      <c r="A162" s="12" t="s">
        <v>163</v>
      </c>
      <c r="B162" s="13">
        <v>57</v>
      </c>
      <c r="C162" s="14"/>
      <c r="D162" s="14"/>
      <c r="E162" s="14"/>
      <c r="F162" s="14"/>
      <c r="G162" s="14"/>
      <c r="H162" s="14"/>
      <c r="I162" s="14"/>
      <c r="J162" s="14"/>
      <c r="K162" s="14"/>
      <c r="L162" s="14"/>
      <c r="M162" s="14"/>
      <c r="N162" s="14"/>
      <c r="O162" s="14"/>
      <c r="P162" s="14"/>
      <c r="Q162" s="14"/>
      <c r="R162" s="14"/>
      <c r="S162" s="14"/>
      <c r="T162" s="14"/>
      <c r="U162" s="14"/>
      <c r="V162" s="14"/>
      <c r="W162" s="14"/>
      <c r="X162" s="14"/>
      <c r="Y162" s="14"/>
      <c r="Z162" s="14"/>
      <c r="AA162" s="14"/>
      <c r="AB162" s="14"/>
      <c r="AC162" s="14"/>
      <c r="AD162" s="14"/>
      <c r="AE162" s="14"/>
      <c r="AF162" s="14"/>
      <c r="AG162" s="14"/>
      <c r="AH162" s="14"/>
      <c r="AI162" s="14"/>
      <c r="AJ162" s="14"/>
      <c r="AK162" s="14"/>
      <c r="AL162" s="14"/>
      <c r="AM162" s="14"/>
      <c r="AN162" s="14"/>
      <c r="AO162" s="14"/>
      <c r="AP162" s="14"/>
      <c r="AQ162" s="14"/>
      <c r="AR162" s="14"/>
      <c r="AS162" s="14"/>
      <c r="AT162" s="14"/>
      <c r="AU162" s="14"/>
      <c r="AV162" s="14"/>
      <c r="AW162" s="14"/>
      <c r="AX162" s="14"/>
      <c r="AY162" s="14"/>
      <c r="AZ162" s="14"/>
      <c r="BA162" s="15">
        <f>SUM(C162:AZ162)</f>
        <v>0</v>
      </c>
      <c r="BB162" s="13">
        <f>BA162*B162</f>
        <v>0</v>
      </c>
    </row>
    <row r="163" spans="1:54" ht="14.1" customHeight="1" x14ac:dyDescent="0.25">
      <c r="A163" s="12" t="s">
        <v>166</v>
      </c>
      <c r="B163" s="13">
        <v>97</v>
      </c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5">
        <f>SUM(C163:AZ163)</f>
        <v>0</v>
      </c>
      <c r="BB163" s="13">
        <f>BA163*B163</f>
        <v>0</v>
      </c>
    </row>
    <row r="164" spans="1:54" ht="14.1" customHeight="1" x14ac:dyDescent="0.25">
      <c r="A164" s="12" t="s">
        <v>167</v>
      </c>
      <c r="B164" s="13">
        <v>77</v>
      </c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5">
        <f>SUM(C164:AZ164)</f>
        <v>0</v>
      </c>
      <c r="BB164" s="13">
        <f>BA164*B164</f>
        <v>0</v>
      </c>
    </row>
    <row r="165" spans="1:54" ht="14.1" customHeight="1" x14ac:dyDescent="0.25">
      <c r="A165" s="12" t="s">
        <v>168</v>
      </c>
      <c r="B165" s="13">
        <v>90</v>
      </c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5">
        <f>SUM(C165:AZ165)</f>
        <v>0</v>
      </c>
      <c r="BB165" s="13">
        <f>BA165*B165</f>
        <v>0</v>
      </c>
    </row>
    <row r="166" spans="1:54" ht="14.1" customHeight="1" x14ac:dyDescent="0.25">
      <c r="A166" s="12" t="s">
        <v>164</v>
      </c>
      <c r="B166" s="13">
        <v>57</v>
      </c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5">
        <f>SUM(C166:AZ166)</f>
        <v>0</v>
      </c>
      <c r="BB166" s="13">
        <f>BA166*B166</f>
        <v>0</v>
      </c>
    </row>
    <row r="167" spans="1:54" ht="14.1" customHeight="1" x14ac:dyDescent="0.25">
      <c r="A167" s="12" t="s">
        <v>165</v>
      </c>
      <c r="B167" s="13">
        <v>57</v>
      </c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5">
        <f>SUM(C167:AZ167)</f>
        <v>0</v>
      </c>
      <c r="BB167" s="13">
        <f>BA167*B167</f>
        <v>0</v>
      </c>
    </row>
    <row r="168" spans="1:54" ht="14.1" customHeight="1" x14ac:dyDescent="0.25">
      <c r="A168" s="12" t="s">
        <v>169</v>
      </c>
      <c r="B168" s="13">
        <v>39</v>
      </c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5">
        <f>SUM(C168:AZ168)</f>
        <v>0</v>
      </c>
      <c r="BB168" s="13">
        <f>BA168*B168</f>
        <v>0</v>
      </c>
    </row>
    <row r="169" spans="1:54" ht="14.1" customHeight="1" x14ac:dyDescent="0.25">
      <c r="A169" s="12" t="s">
        <v>170</v>
      </c>
      <c r="B169" s="13">
        <v>39</v>
      </c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5">
        <f>SUM(C169:AZ169)</f>
        <v>0</v>
      </c>
      <c r="BB169" s="13">
        <f>BA169*B169</f>
        <v>0</v>
      </c>
    </row>
    <row r="170" spans="1:54" ht="14.1" customHeight="1" x14ac:dyDescent="0.25">
      <c r="A170" s="12" t="s">
        <v>171</v>
      </c>
      <c r="B170" s="13">
        <v>39</v>
      </c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5">
        <f>SUM(C170:AZ170)</f>
        <v>0</v>
      </c>
      <c r="BB170" s="13">
        <f>BA170*B170</f>
        <v>0</v>
      </c>
    </row>
    <row r="171" spans="1:54" ht="14.1" customHeight="1" x14ac:dyDescent="0.25">
      <c r="A171" s="12" t="s">
        <v>172</v>
      </c>
      <c r="B171" s="13">
        <v>39</v>
      </c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5">
        <f>SUM(C171:AZ171)</f>
        <v>0</v>
      </c>
      <c r="BB171" s="13">
        <f>BA171*B171</f>
        <v>0</v>
      </c>
    </row>
    <row r="172" spans="1:54" ht="14.1" customHeight="1" x14ac:dyDescent="0.25">
      <c r="A172" s="12" t="s">
        <v>174</v>
      </c>
      <c r="B172" s="13">
        <v>76</v>
      </c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5">
        <f>SUM(C172:AZ172)</f>
        <v>0</v>
      </c>
      <c r="BB172" s="13">
        <f>BA172*B172</f>
        <v>0</v>
      </c>
    </row>
    <row r="173" spans="1:54" ht="14.1" customHeight="1" x14ac:dyDescent="0.25">
      <c r="A173" s="12" t="s">
        <v>173</v>
      </c>
      <c r="B173" s="13">
        <v>76</v>
      </c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5">
        <f>SUM(C173:AZ173)</f>
        <v>0</v>
      </c>
      <c r="BB173" s="13">
        <f>BA173*B173</f>
        <v>0</v>
      </c>
    </row>
    <row r="174" spans="1:54" ht="14.1" customHeight="1" x14ac:dyDescent="0.25">
      <c r="A174" s="12" t="s">
        <v>175</v>
      </c>
      <c r="B174" s="13">
        <v>76</v>
      </c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5">
        <f>SUM(C174:AZ174)</f>
        <v>0</v>
      </c>
      <c r="BB174" s="13">
        <f>BA174*B174</f>
        <v>0</v>
      </c>
    </row>
    <row r="175" spans="1:54" ht="14.1" customHeight="1" x14ac:dyDescent="0.25">
      <c r="A175" s="12" t="s">
        <v>178</v>
      </c>
      <c r="B175" s="13">
        <v>7</v>
      </c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5">
        <f>SUM(C175:AZ175)</f>
        <v>0</v>
      </c>
      <c r="BB175" s="13">
        <f>BA175*B175</f>
        <v>0</v>
      </c>
    </row>
    <row r="176" spans="1:54" ht="14.1" customHeight="1" x14ac:dyDescent="0.25">
      <c r="A176" s="12" t="s">
        <v>176</v>
      </c>
      <c r="B176" s="13">
        <v>4</v>
      </c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5">
        <f>SUM(C176:AZ176)</f>
        <v>0</v>
      </c>
      <c r="BB176" s="13">
        <f>BA176*B176</f>
        <v>0</v>
      </c>
    </row>
    <row r="177" spans="1:54" ht="14.1" customHeight="1" x14ac:dyDescent="0.25">
      <c r="A177" s="12" t="s">
        <v>177</v>
      </c>
      <c r="B177" s="13">
        <v>4</v>
      </c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5">
        <f>SUM(C177:AZ177)</f>
        <v>0</v>
      </c>
      <c r="BB177" s="13">
        <f>BA177*B177</f>
        <v>0</v>
      </c>
    </row>
    <row r="178" spans="1:54" ht="14.1" customHeight="1" thickBot="1" x14ac:dyDescent="0.3">
      <c r="A178" s="16" t="s">
        <v>180</v>
      </c>
      <c r="B178" s="18"/>
      <c r="C178" s="11"/>
      <c r="D178" s="11"/>
      <c r="E178" s="11"/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</row>
    <row r="179" spans="1:54" ht="14.1" customHeight="1" x14ac:dyDescent="0.25">
      <c r="A179" s="17" t="s">
        <v>181</v>
      </c>
      <c r="B179" s="19">
        <v>296</v>
      </c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20">
        <f>SUM(C179:AZ179)</f>
        <v>0</v>
      </c>
      <c r="BB179" s="21">
        <f>BA179*B179</f>
        <v>0</v>
      </c>
    </row>
    <row r="180" spans="1:54" ht="14.1" customHeight="1" x14ac:dyDescent="0.25">
      <c r="A180" s="22" t="s">
        <v>124</v>
      </c>
      <c r="B180" s="23"/>
      <c r="C180" s="26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</row>
    <row r="181" spans="1:54" ht="14.1" customHeight="1" x14ac:dyDescent="0.25">
      <c r="A181" s="24" t="s">
        <v>232</v>
      </c>
      <c r="B181" s="25"/>
      <c r="C181" s="27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</row>
    <row r="182" spans="1:54" ht="14.1" customHeight="1" thickBot="1" x14ac:dyDescent="0.3">
      <c r="A182" s="28" t="s">
        <v>228</v>
      </c>
      <c r="B182" s="29"/>
      <c r="C182" s="27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</row>
    <row r="183" spans="1:54" ht="14.1" customHeight="1" x14ac:dyDescent="0.25">
      <c r="A183" s="17" t="s">
        <v>183</v>
      </c>
      <c r="B183" s="19">
        <v>395</v>
      </c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20">
        <f>SUM(C183:AZ183)</f>
        <v>0</v>
      </c>
      <c r="BB183" s="21">
        <f>BA183*B183</f>
        <v>0</v>
      </c>
    </row>
    <row r="184" spans="1:54" ht="14.1" customHeight="1" x14ac:dyDescent="0.25">
      <c r="A184" s="22" t="s">
        <v>26</v>
      </c>
      <c r="B184" s="23"/>
      <c r="C184" s="26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</row>
    <row r="185" spans="1:54" ht="14.1" customHeight="1" x14ac:dyDescent="0.25">
      <c r="A185" s="24" t="s">
        <v>229</v>
      </c>
      <c r="B185" s="25"/>
      <c r="C185" s="27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</row>
    <row r="186" spans="1:54" ht="14.1" customHeight="1" thickBot="1" x14ac:dyDescent="0.3">
      <c r="A186" s="28" t="s">
        <v>231</v>
      </c>
      <c r="B186" s="29"/>
      <c r="C186" s="27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</row>
    <row r="187" spans="1:54" ht="14.1" customHeight="1" x14ac:dyDescent="0.25">
      <c r="A187" s="17" t="s">
        <v>186</v>
      </c>
      <c r="B187" s="19">
        <v>461</v>
      </c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20">
        <f>SUM(C187:AZ187)</f>
        <v>0</v>
      </c>
      <c r="BB187" s="21">
        <f>BA187*B187</f>
        <v>0</v>
      </c>
    </row>
    <row r="188" spans="1:54" ht="14.1" customHeight="1" x14ac:dyDescent="0.25">
      <c r="A188" s="22" t="s">
        <v>187</v>
      </c>
      <c r="B188" s="23"/>
      <c r="C188" s="26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</row>
    <row r="189" spans="1:54" ht="14.1" customHeight="1" x14ac:dyDescent="0.25">
      <c r="A189" s="24" t="s">
        <v>26</v>
      </c>
      <c r="B189" s="25"/>
      <c r="C189" s="27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</row>
    <row r="190" spans="1:54" ht="14.1" customHeight="1" x14ac:dyDescent="0.25">
      <c r="A190" s="24" t="s">
        <v>229</v>
      </c>
      <c r="B190" s="25"/>
      <c r="C190" s="27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</row>
    <row r="191" spans="1:54" ht="14.1" customHeight="1" thickBot="1" x14ac:dyDescent="0.3">
      <c r="A191" s="28" t="s">
        <v>231</v>
      </c>
      <c r="B191" s="29"/>
      <c r="C191" s="27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</row>
    <row r="192" spans="1:54" ht="14.1" customHeight="1" x14ac:dyDescent="0.25">
      <c r="A192" s="17" t="s">
        <v>188</v>
      </c>
      <c r="B192" s="19">
        <v>432</v>
      </c>
      <c r="C192" s="14"/>
      <c r="D192" s="14"/>
      <c r="E192" s="14"/>
      <c r="F192" s="14"/>
      <c r="G192" s="14"/>
      <c r="H192" s="14"/>
      <c r="I192" s="14"/>
      <c r="J192" s="14"/>
      <c r="K192" s="14"/>
      <c r="L192" s="14"/>
      <c r="M192" s="14"/>
      <c r="N192" s="14"/>
      <c r="O192" s="14"/>
      <c r="P192" s="14"/>
      <c r="Q192" s="14"/>
      <c r="R192" s="14"/>
      <c r="S192" s="14"/>
      <c r="T192" s="14"/>
      <c r="U192" s="14"/>
      <c r="V192" s="14"/>
      <c r="W192" s="14"/>
      <c r="X192" s="14"/>
      <c r="Y192" s="14"/>
      <c r="Z192" s="14"/>
      <c r="AA192" s="14"/>
      <c r="AB192" s="14"/>
      <c r="AC192" s="14"/>
      <c r="AD192" s="14"/>
      <c r="AE192" s="14"/>
      <c r="AF192" s="14"/>
      <c r="AG192" s="14"/>
      <c r="AH192" s="14"/>
      <c r="AI192" s="14"/>
      <c r="AJ192" s="14"/>
      <c r="AK192" s="14"/>
      <c r="AL192" s="14"/>
      <c r="AM192" s="14"/>
      <c r="AN192" s="14"/>
      <c r="AO192" s="14"/>
      <c r="AP192" s="14"/>
      <c r="AQ192" s="14"/>
      <c r="AR192" s="14"/>
      <c r="AS192" s="14"/>
      <c r="AT192" s="14"/>
      <c r="AU192" s="14"/>
      <c r="AV192" s="14"/>
      <c r="AW192" s="14"/>
      <c r="AX192" s="14"/>
      <c r="AY192" s="14"/>
      <c r="AZ192" s="14"/>
      <c r="BA192" s="20">
        <f>SUM(C192:AZ192)</f>
        <v>0</v>
      </c>
      <c r="BB192" s="21">
        <f>BA192*B192</f>
        <v>0</v>
      </c>
    </row>
    <row r="193" spans="1:54" ht="14.1" customHeight="1" x14ac:dyDescent="0.25">
      <c r="A193" s="22" t="s">
        <v>230</v>
      </c>
      <c r="B193" s="23"/>
      <c r="C193" s="26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</row>
    <row r="194" spans="1:54" ht="14.1" customHeight="1" x14ac:dyDescent="0.25">
      <c r="A194" s="24" t="s">
        <v>71</v>
      </c>
      <c r="B194" s="25"/>
      <c r="C194" s="27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</row>
    <row r="195" spans="1:54" ht="14.1" customHeight="1" thickBot="1" x14ac:dyDescent="0.3">
      <c r="A195" s="28" t="s">
        <v>227</v>
      </c>
      <c r="B195" s="29"/>
      <c r="C195" s="27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</row>
    <row r="196" spans="1:54" ht="14.1" customHeight="1" x14ac:dyDescent="0.25">
      <c r="A196" s="17" t="s">
        <v>189</v>
      </c>
      <c r="B196" s="19">
        <v>496</v>
      </c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20">
        <f>SUM(C196:AZ196)</f>
        <v>0</v>
      </c>
      <c r="BB196" s="21">
        <f>BA196*B196</f>
        <v>0</v>
      </c>
    </row>
    <row r="197" spans="1:54" ht="14.1" customHeight="1" x14ac:dyDescent="0.25">
      <c r="A197" s="22" t="s">
        <v>230</v>
      </c>
      <c r="B197" s="23"/>
      <c r="C197" s="26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</row>
    <row r="198" spans="1:54" ht="14.1" customHeight="1" x14ac:dyDescent="0.25">
      <c r="A198" s="24" t="s">
        <v>71</v>
      </c>
      <c r="B198" s="25"/>
      <c r="C198" s="27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</row>
    <row r="199" spans="1:54" ht="14.1" customHeight="1" x14ac:dyDescent="0.25">
      <c r="A199" s="24" t="s">
        <v>227</v>
      </c>
      <c r="B199" s="25"/>
      <c r="C199" s="27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</row>
    <row r="200" spans="1:54" ht="14.1" customHeight="1" thickBot="1" x14ac:dyDescent="0.3">
      <c r="A200" s="28" t="s">
        <v>233</v>
      </c>
      <c r="B200" s="29"/>
      <c r="C200" s="27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</row>
    <row r="201" spans="1:54" ht="14.1" customHeight="1" x14ac:dyDescent="0.25">
      <c r="A201" s="17" t="s">
        <v>190</v>
      </c>
      <c r="B201" s="19">
        <v>310</v>
      </c>
      <c r="C201" s="14"/>
      <c r="D201" s="14"/>
      <c r="E201" s="14"/>
      <c r="F201" s="14"/>
      <c r="G201" s="14"/>
      <c r="H201" s="14"/>
      <c r="I201" s="14"/>
      <c r="J201" s="14"/>
      <c r="K201" s="14"/>
      <c r="L201" s="14"/>
      <c r="M201" s="14"/>
      <c r="N201" s="14"/>
      <c r="O201" s="14"/>
      <c r="P201" s="14"/>
      <c r="Q201" s="14"/>
      <c r="R201" s="14"/>
      <c r="S201" s="14"/>
      <c r="T201" s="14"/>
      <c r="U201" s="14"/>
      <c r="V201" s="14"/>
      <c r="W201" s="14"/>
      <c r="X201" s="14"/>
      <c r="Y201" s="14"/>
      <c r="Z201" s="14"/>
      <c r="AA201" s="14"/>
      <c r="AB201" s="14"/>
      <c r="AC201" s="14"/>
      <c r="AD201" s="14"/>
      <c r="AE201" s="14"/>
      <c r="AF201" s="14"/>
      <c r="AG201" s="14"/>
      <c r="AH201" s="14"/>
      <c r="AI201" s="14"/>
      <c r="AJ201" s="14"/>
      <c r="AK201" s="14"/>
      <c r="AL201" s="14"/>
      <c r="AM201" s="14"/>
      <c r="AN201" s="14"/>
      <c r="AO201" s="14"/>
      <c r="AP201" s="14"/>
      <c r="AQ201" s="14"/>
      <c r="AR201" s="14"/>
      <c r="AS201" s="14"/>
      <c r="AT201" s="14"/>
      <c r="AU201" s="14"/>
      <c r="AV201" s="14"/>
      <c r="AW201" s="14"/>
      <c r="AX201" s="14"/>
      <c r="AY201" s="14"/>
      <c r="AZ201" s="14"/>
      <c r="BA201" s="20">
        <f>SUM(C201:AZ201)</f>
        <v>0</v>
      </c>
      <c r="BB201" s="21">
        <f>BA201*B201</f>
        <v>0</v>
      </c>
    </row>
    <row r="202" spans="1:54" ht="14.1" customHeight="1" x14ac:dyDescent="0.25">
      <c r="A202" s="22" t="s">
        <v>199</v>
      </c>
      <c r="B202" s="23"/>
      <c r="C202" s="26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</row>
    <row r="203" spans="1:54" ht="14.1" customHeight="1" thickBot="1" x14ac:dyDescent="0.3">
      <c r="A203" s="28" t="s">
        <v>234</v>
      </c>
      <c r="B203" s="29"/>
      <c r="C203" s="27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</row>
    <row r="204" spans="1:54" ht="14.1" customHeight="1" x14ac:dyDescent="0.25">
      <c r="A204" s="17" t="s">
        <v>191</v>
      </c>
      <c r="B204" s="19">
        <v>361</v>
      </c>
      <c r="C204" s="14"/>
      <c r="D204" s="14"/>
      <c r="E204" s="14"/>
      <c r="F204" s="14"/>
      <c r="G204" s="14"/>
      <c r="H204" s="14"/>
      <c r="I204" s="14"/>
      <c r="J204" s="14"/>
      <c r="K204" s="14"/>
      <c r="L204" s="14"/>
      <c r="M204" s="14"/>
      <c r="N204" s="14"/>
      <c r="O204" s="14"/>
      <c r="P204" s="14"/>
      <c r="Q204" s="14"/>
      <c r="R204" s="14"/>
      <c r="S204" s="14"/>
      <c r="T204" s="14"/>
      <c r="U204" s="14"/>
      <c r="V204" s="14"/>
      <c r="W204" s="14"/>
      <c r="X204" s="14"/>
      <c r="Y204" s="14"/>
      <c r="Z204" s="14"/>
      <c r="AA204" s="14"/>
      <c r="AB204" s="14"/>
      <c r="AC204" s="14"/>
      <c r="AD204" s="14"/>
      <c r="AE204" s="14"/>
      <c r="AF204" s="14"/>
      <c r="AG204" s="14"/>
      <c r="AH204" s="14"/>
      <c r="AI204" s="14"/>
      <c r="AJ204" s="14"/>
      <c r="AK204" s="14"/>
      <c r="AL204" s="14"/>
      <c r="AM204" s="14"/>
      <c r="AN204" s="14"/>
      <c r="AO204" s="14"/>
      <c r="AP204" s="14"/>
      <c r="AQ204" s="14"/>
      <c r="AR204" s="14"/>
      <c r="AS204" s="14"/>
      <c r="AT204" s="14"/>
      <c r="AU204" s="14"/>
      <c r="AV204" s="14"/>
      <c r="AW204" s="14"/>
      <c r="AX204" s="14"/>
      <c r="AY204" s="14"/>
      <c r="AZ204" s="14"/>
      <c r="BA204" s="20">
        <f>SUM(C204:AZ204)</f>
        <v>0</v>
      </c>
      <c r="BB204" s="21">
        <f>BA204*B204</f>
        <v>0</v>
      </c>
    </row>
    <row r="205" spans="1:54" ht="14.1" customHeight="1" x14ac:dyDescent="0.25">
      <c r="A205" s="22" t="s">
        <v>185</v>
      </c>
      <c r="B205" s="23"/>
      <c r="C205" s="26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</row>
    <row r="206" spans="1:54" ht="14.1" customHeight="1" x14ac:dyDescent="0.25">
      <c r="A206" s="24" t="s">
        <v>235</v>
      </c>
      <c r="B206" s="25"/>
      <c r="C206" s="27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</row>
    <row r="207" spans="1:54" ht="14.1" customHeight="1" thickBot="1" x14ac:dyDescent="0.3">
      <c r="A207" s="28" t="s">
        <v>12</v>
      </c>
      <c r="B207" s="29"/>
      <c r="C207" s="27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</row>
    <row r="208" spans="1:54" ht="14.1" customHeight="1" x14ac:dyDescent="0.25">
      <c r="A208" s="17" t="s">
        <v>194</v>
      </c>
      <c r="B208" s="19">
        <v>276</v>
      </c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20">
        <f>SUM(C208:AZ208)</f>
        <v>0</v>
      </c>
      <c r="BB208" s="21">
        <f>BA208*B208</f>
        <v>0</v>
      </c>
    </row>
    <row r="209" spans="1:54" ht="14.1" customHeight="1" x14ac:dyDescent="0.25">
      <c r="A209" s="22" t="s">
        <v>227</v>
      </c>
      <c r="B209" s="23"/>
      <c r="C209" s="26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</row>
    <row r="210" spans="1:54" ht="14.1" customHeight="1" thickBot="1" x14ac:dyDescent="0.3">
      <c r="A210" s="28" t="s">
        <v>64</v>
      </c>
      <c r="B210" s="29"/>
      <c r="C210" s="27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</row>
    <row r="211" spans="1:54" ht="14.1" customHeight="1" x14ac:dyDescent="0.25">
      <c r="A211" s="17" t="s">
        <v>195</v>
      </c>
      <c r="B211" s="19">
        <v>300</v>
      </c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20">
        <f>SUM(C211:AZ211)</f>
        <v>0</v>
      </c>
      <c r="BB211" s="21">
        <f>BA211*B211</f>
        <v>0</v>
      </c>
    </row>
    <row r="212" spans="1:54" ht="14.1" customHeight="1" x14ac:dyDescent="0.25">
      <c r="A212" s="22" t="s">
        <v>229</v>
      </c>
      <c r="B212" s="23"/>
      <c r="C212" s="26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</row>
    <row r="213" spans="1:54" ht="14.1" customHeight="1" thickBot="1" x14ac:dyDescent="0.3">
      <c r="A213" s="28" t="s">
        <v>87</v>
      </c>
      <c r="B213" s="29"/>
      <c r="C213" s="27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</row>
    <row r="214" spans="1:54" x14ac:dyDescent="0.25">
      <c r="A214" s="30"/>
      <c r="B214" s="30"/>
      <c r="C214" s="15">
        <f>SUMPRODUCT(C9:C211,$B$9:$B$211)</f>
        <v>0</v>
      </c>
      <c r="D214" s="15">
        <f>SUMPRODUCT(D9:D211,$B$9:$B$211)</f>
        <v>0</v>
      </c>
      <c r="E214" s="15">
        <f>SUMPRODUCT(E9:E211,$B$9:$B$211)</f>
        <v>0</v>
      </c>
      <c r="F214" s="15">
        <f>SUMPRODUCT(F9:F211,$B$9:$B$211)</f>
        <v>0</v>
      </c>
      <c r="G214" s="15">
        <f>SUMPRODUCT(G9:G211,$B$9:$B$211)</f>
        <v>0</v>
      </c>
      <c r="H214" s="15">
        <f>SUMPRODUCT(H9:H211,$B$9:$B$211)</f>
        <v>0</v>
      </c>
      <c r="I214" s="15">
        <f>SUMPRODUCT(I9:I211,$B$9:$B$211)</f>
        <v>0</v>
      </c>
      <c r="J214" s="15">
        <f>SUMPRODUCT(J9:J211,$B$9:$B$211)</f>
        <v>0</v>
      </c>
      <c r="K214" s="15">
        <f>SUMPRODUCT(K9:K211,$B$9:$B$211)</f>
        <v>0</v>
      </c>
      <c r="L214" s="15">
        <f>SUMPRODUCT(L9:L211,$B$9:$B$211)</f>
        <v>0</v>
      </c>
      <c r="M214" s="15">
        <f>SUMPRODUCT(M9:M211,$B$9:$B$211)</f>
        <v>0</v>
      </c>
      <c r="N214" s="15">
        <f>SUMPRODUCT(N9:N211,$B$9:$B$211)</f>
        <v>0</v>
      </c>
      <c r="O214" s="15">
        <f>SUMPRODUCT(O9:O211,$B$9:$B$211)</f>
        <v>0</v>
      </c>
      <c r="P214" s="15">
        <f>SUMPRODUCT(P9:P211,$B$9:$B$211)</f>
        <v>0</v>
      </c>
      <c r="Q214" s="15">
        <f>SUMPRODUCT(Q9:Q211,$B$9:$B$211)</f>
        <v>0</v>
      </c>
      <c r="R214" s="15">
        <f>SUMPRODUCT(R9:R211,$B$9:$B$211)</f>
        <v>0</v>
      </c>
      <c r="S214" s="15">
        <f>SUMPRODUCT(S9:S211,$B$9:$B$211)</f>
        <v>0</v>
      </c>
      <c r="T214" s="15">
        <f>SUMPRODUCT(T9:T211,$B$9:$B$211)</f>
        <v>0</v>
      </c>
      <c r="U214" s="15">
        <f>SUMPRODUCT(U9:U211,$B$9:$B$211)</f>
        <v>0</v>
      </c>
      <c r="V214" s="15">
        <f>SUMPRODUCT(V9:V211,$B$9:$B$211)</f>
        <v>0</v>
      </c>
      <c r="W214" s="15">
        <f>SUMPRODUCT(W9:W211,$B$9:$B$211)</f>
        <v>0</v>
      </c>
      <c r="X214" s="15">
        <f>SUMPRODUCT(X9:X211,$B$9:$B$211)</f>
        <v>0</v>
      </c>
      <c r="Y214" s="15">
        <f>SUMPRODUCT(Y9:Y211,$B$9:$B$211)</f>
        <v>0</v>
      </c>
      <c r="Z214" s="15">
        <f>SUMPRODUCT(Z9:Z211,$B$9:$B$211)</f>
        <v>0</v>
      </c>
      <c r="AA214" s="15">
        <f>SUMPRODUCT(AA9:AA211,$B$9:$B$211)</f>
        <v>0</v>
      </c>
      <c r="AB214" s="15">
        <f>SUMPRODUCT(AB9:AB211,$B$9:$B$211)</f>
        <v>0</v>
      </c>
      <c r="AC214" s="15">
        <f>SUMPRODUCT(AC9:AC211,$B$9:$B$211)</f>
        <v>0</v>
      </c>
      <c r="AD214" s="15">
        <f>SUMPRODUCT(AD9:AD211,$B$9:$B$211)</f>
        <v>0</v>
      </c>
      <c r="AE214" s="15">
        <f>SUMPRODUCT(AE9:AE211,$B$9:$B$211)</f>
        <v>0</v>
      </c>
      <c r="AF214" s="15">
        <f>SUMPRODUCT(AF9:AF211,$B$9:$B$211)</f>
        <v>0</v>
      </c>
      <c r="AG214" s="15">
        <f>SUMPRODUCT(AG9:AG211,$B$9:$B$211)</f>
        <v>0</v>
      </c>
      <c r="AH214" s="15">
        <f>SUMPRODUCT(AH9:AH211,$B$9:$B$211)</f>
        <v>0</v>
      </c>
      <c r="AI214" s="15">
        <f>SUMPRODUCT(AI9:AI211,$B$9:$B$211)</f>
        <v>0</v>
      </c>
      <c r="AJ214" s="15">
        <f>SUMPRODUCT(AJ9:AJ211,$B$9:$B$211)</f>
        <v>0</v>
      </c>
      <c r="AK214" s="15">
        <f>SUMPRODUCT(AK9:AK211,$B$9:$B$211)</f>
        <v>0</v>
      </c>
      <c r="AL214" s="15">
        <f>SUMPRODUCT(AL9:AL211,$B$9:$B$211)</f>
        <v>0</v>
      </c>
      <c r="AM214" s="15">
        <f>SUMPRODUCT(AM9:AM211,$B$9:$B$211)</f>
        <v>0</v>
      </c>
      <c r="AN214" s="15">
        <f>SUMPRODUCT(AN9:AN211,$B$9:$B$211)</f>
        <v>0</v>
      </c>
      <c r="AO214" s="15">
        <f>SUMPRODUCT(AO9:AO211,$B$9:$B$211)</f>
        <v>0</v>
      </c>
      <c r="AP214" s="15">
        <f>SUMPRODUCT(AP9:AP211,$B$9:$B$211)</f>
        <v>0</v>
      </c>
      <c r="AQ214" s="15">
        <f>SUMPRODUCT(AQ9:AQ211,$B$9:$B$211)</f>
        <v>0</v>
      </c>
      <c r="AR214" s="15">
        <f>SUMPRODUCT(AR9:AR211,$B$9:$B$211)</f>
        <v>0</v>
      </c>
      <c r="AS214" s="15">
        <f>SUMPRODUCT(AS9:AS211,$B$9:$B$211)</f>
        <v>0</v>
      </c>
      <c r="AT214" s="15">
        <f>SUMPRODUCT(AT9:AT211,$B$9:$B$211)</f>
        <v>0</v>
      </c>
      <c r="AU214" s="15">
        <f>SUMPRODUCT(AU9:AU211,$B$9:$B$211)</f>
        <v>0</v>
      </c>
      <c r="AV214" s="15">
        <f>SUMPRODUCT(AV9:AV211,$B$9:$B$211)</f>
        <v>0</v>
      </c>
      <c r="AW214" s="15">
        <f>SUMPRODUCT(AW9:AW211,$B$9:$B$211)</f>
        <v>0</v>
      </c>
      <c r="AX214" s="15">
        <f>SUMPRODUCT(AX9:AX211,$B$9:$B$211)</f>
        <v>0</v>
      </c>
      <c r="AY214" s="15">
        <f>SUMPRODUCT(AY9:AY211,$B$9:$B$211)</f>
        <v>0</v>
      </c>
      <c r="AZ214" s="15">
        <f>SUMPRODUCT(AZ9:AZ211,$B$9:$B$211)</f>
        <v>0</v>
      </c>
      <c r="BA214" s="15">
        <f>$BA$10+$BA$11+$BA$12+$BA$13+$BA$14+$BA$15+$BA$16+$BA$17+$BA$18+$BA$19+$BA$20+$BA$21+$BA$22+$BA$23+$BA$24+$BA$25+$BA$26+$BA$27+$BA$28+$BA$29+$BA$30+$BA$31+$BA$32+$BA$34+$BA$35+$BA$36+$BA$37+$BA$38+$BA$39+$BA$40+$BA$41+$BA$42+$BA$43+$BA$44+$BA$45+$BA$47+$BA$48+$BA$50+$BA$51+$BA$52+$BA$53+$BA$54+$BA$55+$BA$56+$BA$57+$BA$58+$BA$59+$BA$60+$BA$61+$BA$62+$BA$63+$BA$64+$BA$65+$BA$66+$BA$67+$BA$68+$BA$69+$BA$70+$BA$71+$BA$72+$BA$73+$BA$74+$BA$75+$BA$76+$BA$77+$BA$78+$BA$79+$BA$80+$BA$81+$BA$82+$BA$83+$BA$84+$BA$85+$BA$86+$BA$87+$BA$88+$BA$89+$BA$90+$BA$91+$BA$92+$BA$94+$BA$95+$BA$96+$BA$97+$BA$99+$BA$100+$BA$101+$BA$102+$BA$103+$BA$104+$BA$105+$BA$106+$BA$107+$BA$108+$BA$109+$BA$111+$BA$112+$BA$113+$BA$114+$BA$115+$BA$117+$BA$118+$BA$119+$BA$120+$BA$121+$BA$122+$BA$123+$BA$124+$BA$125+$BA$126+$BA$127+$BA$128+$BA$129+$BA$130+$BA$131+$BA$132+$BA$133+$BA$134+$BA$136+$BA$137+$BA$138+$BA$139+$BA$140+$BA$141+$BA$142+$BA$143+$BA$144+$BA$145+$BA$146+$BA$147+$BA$148+$BA$149+$BA$150+$BA$151+$BA$152+$BA$153+$BA$154+$BA$155+$BA$156+$BA$157+$BA$158+$BA$160+$BA$161+$BA$162+$BA$163+$BA$164+$BA$165+$BA$166+$BA$167+$BA$168+$BA$169+$BA$170+$BA$171+$BA$172+$BA$173+$BA$174+$BA$175+$BA$176+$BA$177+$BA$179+$BA$183+$BA$187+$BA$192+$BA$196+$BA$201+$BA$204+$BA$208+$BA$211</f>
        <v>0</v>
      </c>
      <c r="BB214" s="13">
        <f>$BB$10+$BB$11+$BB$12+$BB$13+$BB$14+$BB$15+$BB$16+$BB$17+$BB$18+$BB$19+$BB$20+$BB$21+$BB$22+$BB$23+$BB$24+$BB$25+$BB$26+$BB$27+$BB$28+$BB$29+$BB$30+$BB$31+$BB$32+$BB$34+$BB$35+$BB$36+$BB$37+$BB$38+$BB$39+$BB$40+$BB$41+$BB$42+$BB$43+$BB$44+$BB$45+$BB$47+$BB$48+$BB$50+$BB$51+$BB$52+$BB$53+$BB$54+$BB$55+$BB$56+$BB$57+$BB$58+$BB$59+$BB$60+$BB$61+$BB$62+$BB$63+$BB$64+$BB$65+$BB$66+$BB$67+$BB$68+$BB$69+$BB$70+$BB$71+$BB$72+$BB$73+$BB$74+$BB$75+$BB$76+$BB$77+$BB$78+$BB$79+$BB$80+$BB$81+$BB$82+$BB$83+$BB$84+$BB$85+$BB$86+$BB$87+$BB$88+$BB$89+$BB$90+$BB$91+$BB$92+$BB$94+$BB$95+$BB$96+$BB$97+$BB$99+$BB$100+$BB$101+$BB$102+$BB$103+$BB$104+$BB$105+$BB$106+$BB$107+$BB$108+$BB$109+$BB$111+$BB$112+$BB$113+$BB$114+$BB$115+$BB$117+$BB$118+$BB$119+$BB$120+$BB$121+$BB$122+$BB$123+$BB$124+$BB$125+$BB$126+$BB$127+$BB$128+$BB$129+$BB$130+$BB$131+$BB$132+$BB$133+$BB$134+$BB$136+$BB$137+$BB$138+$BB$139+$BB$140+$BB$141+$BB$142+$BB$143+$BB$144+$BB$145+$BB$146+$BB$147+$BB$148+$BB$149+$BB$150+$BB$151+$BB$152+$BB$153+$BB$154+$BB$155+$BB$156+$BB$157+$BB$158+$BB$160+$BB$161+$BB$162+$BB$163+$BB$164+$BB$165+$BB$166+$BB$167+$BB$168+$BB$169+$BB$170+$BB$171+$BB$172+$BB$173+$BB$174+$BB$175+$BB$176+$BB$177+$BB$179+$BB$183+$BB$187+$BB$192+$BB$196+$BB$201+$BB$204+$BB$208+$BB$211</f>
        <v>0</v>
      </c>
    </row>
  </sheetData>
  <sheetProtection algorithmName="SHA-512" hashValue="Z5VTY6dZiwoxaqrGnmvdhEZTm94fNxgg+iyNkJdcBZDbGaY0dYpqQ4o/PDmOyjxYA1+4mjN4tnRQ47pkRxt0MA==" saltValue="IqIo/O36+72E1GQ4ZMCp7Q==" spinCount="100000" sheet="1" objects="1" scenarios="1"/>
  <mergeCells count="42">
    <mergeCell ref="A212:B212"/>
    <mergeCell ref="A213:B213"/>
    <mergeCell ref="C212:BB213"/>
    <mergeCell ref="A205:B205"/>
    <mergeCell ref="A206:B206"/>
    <mergeCell ref="A207:B207"/>
    <mergeCell ref="C205:BB207"/>
    <mergeCell ref="A209:B209"/>
    <mergeCell ref="A210:B210"/>
    <mergeCell ref="C209:BB210"/>
    <mergeCell ref="A199:B199"/>
    <mergeCell ref="A200:B200"/>
    <mergeCell ref="C197:BB200"/>
    <mergeCell ref="A202:B202"/>
    <mergeCell ref="A203:B203"/>
    <mergeCell ref="C202:BB203"/>
    <mergeCell ref="A193:B193"/>
    <mergeCell ref="A194:B194"/>
    <mergeCell ref="A195:B195"/>
    <mergeCell ref="C193:BB195"/>
    <mergeCell ref="A197:B197"/>
    <mergeCell ref="A198:B198"/>
    <mergeCell ref="A186:B186"/>
    <mergeCell ref="C184:BB186"/>
    <mergeCell ref="A188:B188"/>
    <mergeCell ref="A189:B189"/>
    <mergeCell ref="A190:B190"/>
    <mergeCell ref="A191:B191"/>
    <mergeCell ref="C188:BB191"/>
    <mergeCell ref="A180:B180"/>
    <mergeCell ref="A181:B181"/>
    <mergeCell ref="A182:B182"/>
    <mergeCell ref="C180:BB182"/>
    <mergeCell ref="A184:B184"/>
    <mergeCell ref="A185:B185"/>
    <mergeCell ref="A1:B4"/>
    <mergeCell ref="C1:BB4"/>
    <mergeCell ref="C5:AZ5"/>
    <mergeCell ref="C6:AZ6"/>
    <mergeCell ref="C7:AZ7"/>
    <mergeCell ref="BA5:BA7"/>
    <mergeCell ref="BB5:BB7"/>
  </mergeCells>
  <pageMargins left="0.39370078740157499" right="0.39370078740157499" top="0.75" bottom="0.75" header="0.3" footer="0.3"/>
  <pageSetup paperSize="9" scale="80" orientation="portrait" r:id="rId1"/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217"/>
  <sheetViews>
    <sheetView workbookViewId="0">
      <pane xSplit="2" ySplit="8" topLeftCell="C9" activePane="bottomRight" state="frozenSplit"/>
      <selection pane="bottomLeft" activeCell="A9" sqref="A9"/>
      <selection pane="topRight" activeCell="C1" sqref="C1"/>
      <selection pane="bottomRight" sqref="A1:B4"/>
    </sheetView>
  </sheetViews>
  <sheetFormatPr defaultRowHeight="15" x14ac:dyDescent="0.25"/>
  <cols>
    <col min="1" max="1" width="70.7109375" customWidth="1"/>
    <col min="2" max="2" width="7.7109375" customWidth="1"/>
    <col min="3" max="52" width="3.7109375" customWidth="1"/>
    <col min="53" max="53" width="5.7109375" customWidth="1"/>
    <col min="54" max="54" width="20.7109375" customWidth="1"/>
  </cols>
  <sheetData>
    <row r="1" spans="1:54" ht="35.1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</row>
    <row r="2" spans="1:54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spans="1:5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spans="1:54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spans="1:54" ht="20.100000000000001" customHeight="1" x14ac:dyDescent="0.25">
      <c r="C5" s="3" t="s">
        <v>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5" t="s">
        <v>5</v>
      </c>
      <c r="BB5" s="6" t="s">
        <v>6</v>
      </c>
    </row>
    <row r="6" spans="1:54" ht="20.100000000000001" customHeight="1" x14ac:dyDescent="0.25">
      <c r="C6" s="3" t="s">
        <v>236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5"/>
      <c r="BB6" s="6"/>
    </row>
    <row r="7" spans="1:54" ht="20.100000000000001" customHeight="1" x14ac:dyDescent="0.25">
      <c r="C7" s="3" t="s">
        <v>237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5"/>
      <c r="BB7" s="6"/>
    </row>
    <row r="8" spans="1:54" ht="14.1" customHeight="1" x14ac:dyDescent="0.25">
      <c r="A8" s="7" t="s">
        <v>0</v>
      </c>
      <c r="B8" s="8" t="s">
        <v>1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8"/>
      <c r="BB8" s="8"/>
    </row>
    <row r="9" spans="1:54" x14ac:dyDescent="0.25">
      <c r="A9" s="10" t="s">
        <v>7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</row>
    <row r="10" spans="1:54" ht="14.1" customHeight="1" x14ac:dyDescent="0.25">
      <c r="A10" s="12" t="s">
        <v>8</v>
      </c>
      <c r="B10" s="13">
        <v>127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5">
        <f>SUM(C10:AZ10)</f>
        <v>0</v>
      </c>
      <c r="BB10" s="13">
        <f>BA10*B10</f>
        <v>0</v>
      </c>
    </row>
    <row r="11" spans="1:54" ht="14.1" customHeight="1" x14ac:dyDescent="0.25">
      <c r="A11" s="12" t="s">
        <v>9</v>
      </c>
      <c r="B11" s="13">
        <v>127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5">
        <f>SUM(C11:AZ11)</f>
        <v>0</v>
      </c>
      <c r="BB11" s="13">
        <f>BA11*B11</f>
        <v>0</v>
      </c>
    </row>
    <row r="12" spans="1:54" ht="14.1" customHeight="1" x14ac:dyDescent="0.25">
      <c r="A12" s="12" t="s">
        <v>10</v>
      </c>
      <c r="B12" s="13">
        <v>105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5">
        <f>SUM(C12:AZ12)</f>
        <v>0</v>
      </c>
      <c r="BB12" s="13">
        <f>BA12*B12</f>
        <v>0</v>
      </c>
    </row>
    <row r="13" spans="1:54" ht="14.1" customHeight="1" x14ac:dyDescent="0.25">
      <c r="A13" s="12" t="s">
        <v>11</v>
      </c>
      <c r="B13" s="13">
        <v>149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5">
        <f>SUM(C13:AZ13)</f>
        <v>0</v>
      </c>
      <c r="BB13" s="13">
        <f>BA13*B13</f>
        <v>0</v>
      </c>
    </row>
    <row r="14" spans="1:54" ht="14.1" customHeight="1" x14ac:dyDescent="0.25">
      <c r="A14" s="12" t="s">
        <v>12</v>
      </c>
      <c r="B14" s="13">
        <v>149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5">
        <f>SUM(C14:AZ14)</f>
        <v>0</v>
      </c>
      <c r="BB14" s="13">
        <f>BA14*B14</f>
        <v>0</v>
      </c>
    </row>
    <row r="15" spans="1:54" ht="14.1" customHeight="1" x14ac:dyDescent="0.25">
      <c r="A15" s="12" t="s">
        <v>25</v>
      </c>
      <c r="B15" s="13">
        <v>142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5">
        <f>SUM(C15:AZ15)</f>
        <v>0</v>
      </c>
      <c r="BB15" s="13">
        <f>BA15*B15</f>
        <v>0</v>
      </c>
    </row>
    <row r="16" spans="1:54" ht="14.1" customHeight="1" x14ac:dyDescent="0.25">
      <c r="A16" s="12" t="s">
        <v>13</v>
      </c>
      <c r="B16" s="13">
        <v>135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5">
        <f>SUM(C16:AZ16)</f>
        <v>0</v>
      </c>
      <c r="BB16" s="13">
        <f>BA16*B16</f>
        <v>0</v>
      </c>
    </row>
    <row r="17" spans="1:54" ht="14.1" customHeight="1" x14ac:dyDescent="0.25">
      <c r="A17" s="12" t="s">
        <v>14</v>
      </c>
      <c r="B17" s="13">
        <v>135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5">
        <f>SUM(C17:AZ17)</f>
        <v>0</v>
      </c>
      <c r="BB17" s="13">
        <f>BA17*B17</f>
        <v>0</v>
      </c>
    </row>
    <row r="18" spans="1:54" ht="14.1" customHeight="1" x14ac:dyDescent="0.25">
      <c r="A18" s="12" t="s">
        <v>15</v>
      </c>
      <c r="B18" s="13">
        <v>135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5">
        <f>SUM(C18:AZ18)</f>
        <v>0</v>
      </c>
      <c r="BB18" s="13">
        <f>BA18*B18</f>
        <v>0</v>
      </c>
    </row>
    <row r="19" spans="1:54" ht="14.1" customHeight="1" x14ac:dyDescent="0.25">
      <c r="A19" s="12" t="s">
        <v>16</v>
      </c>
      <c r="B19" s="13">
        <v>142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5">
        <f>SUM(C19:AZ19)</f>
        <v>0</v>
      </c>
      <c r="BB19" s="13">
        <f>BA19*B19</f>
        <v>0</v>
      </c>
    </row>
    <row r="20" spans="1:54" ht="14.1" customHeight="1" x14ac:dyDescent="0.25">
      <c r="A20" s="12" t="s">
        <v>18</v>
      </c>
      <c r="B20" s="13">
        <v>157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5">
        <f>SUM(C20:AZ20)</f>
        <v>0</v>
      </c>
      <c r="BB20" s="13">
        <f>BA20*B20</f>
        <v>0</v>
      </c>
    </row>
    <row r="21" spans="1:54" ht="14.1" customHeight="1" x14ac:dyDescent="0.25">
      <c r="A21" s="12" t="s">
        <v>19</v>
      </c>
      <c r="B21" s="13">
        <v>112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5">
        <f>SUM(C21:AZ21)</f>
        <v>0</v>
      </c>
      <c r="BB21" s="13">
        <f>BA21*B21</f>
        <v>0</v>
      </c>
    </row>
    <row r="22" spans="1:54" ht="14.1" customHeight="1" x14ac:dyDescent="0.25">
      <c r="A22" s="12" t="s">
        <v>20</v>
      </c>
      <c r="B22" s="13">
        <v>268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5">
        <f>SUM(C22:AZ22)</f>
        <v>0</v>
      </c>
      <c r="BB22" s="13">
        <f>BA22*B22</f>
        <v>0</v>
      </c>
    </row>
    <row r="23" spans="1:54" ht="14.1" customHeight="1" x14ac:dyDescent="0.25">
      <c r="A23" s="12" t="s">
        <v>21</v>
      </c>
      <c r="B23" s="13">
        <v>268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5">
        <f>SUM(C23:AZ23)</f>
        <v>0</v>
      </c>
      <c r="BB23" s="13">
        <f>BA23*B23</f>
        <v>0</v>
      </c>
    </row>
    <row r="24" spans="1:54" ht="14.1" customHeight="1" x14ac:dyDescent="0.25">
      <c r="A24" s="12" t="s">
        <v>22</v>
      </c>
      <c r="B24" s="13">
        <v>268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5">
        <f>SUM(C24:AZ24)</f>
        <v>0</v>
      </c>
      <c r="BB24" s="13">
        <f>BA24*B24</f>
        <v>0</v>
      </c>
    </row>
    <row r="25" spans="1:54" ht="14.1" customHeight="1" x14ac:dyDescent="0.25">
      <c r="A25" s="12" t="s">
        <v>23</v>
      </c>
      <c r="B25" s="13">
        <v>230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5">
        <f>SUM(C25:AZ25)</f>
        <v>0</v>
      </c>
      <c r="BB25" s="13">
        <f>BA25*B25</f>
        <v>0</v>
      </c>
    </row>
    <row r="26" spans="1:54" ht="14.1" customHeight="1" x14ac:dyDescent="0.25">
      <c r="A26" s="12" t="s">
        <v>24</v>
      </c>
      <c r="B26" s="13">
        <v>253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5">
        <f>SUM(C26:AZ26)</f>
        <v>0</v>
      </c>
      <c r="BB26" s="13">
        <f>BA26*B26</f>
        <v>0</v>
      </c>
    </row>
    <row r="27" spans="1:54" ht="14.1" customHeight="1" x14ac:dyDescent="0.25">
      <c r="A27" s="12" t="s">
        <v>238</v>
      </c>
      <c r="B27" s="13">
        <v>149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5">
        <f>SUM(C27:AZ27)</f>
        <v>0</v>
      </c>
      <c r="BB27" s="13">
        <f>BA27*B27</f>
        <v>0</v>
      </c>
    </row>
    <row r="28" spans="1:54" ht="14.1" customHeight="1" x14ac:dyDescent="0.25">
      <c r="A28" s="12" t="s">
        <v>239</v>
      </c>
      <c r="B28" s="13">
        <v>142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5">
        <f>SUM(C28:AZ28)</f>
        <v>0</v>
      </c>
      <c r="BB28" s="13">
        <f>BA28*B28</f>
        <v>0</v>
      </c>
    </row>
    <row r="29" spans="1:54" ht="14.1" customHeight="1" x14ac:dyDescent="0.25">
      <c r="A29" s="12" t="s">
        <v>17</v>
      </c>
      <c r="B29" s="13">
        <v>135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5">
        <f>SUM(C29:AZ29)</f>
        <v>0</v>
      </c>
      <c r="BB29" s="13">
        <f>BA29*B29</f>
        <v>0</v>
      </c>
    </row>
    <row r="30" spans="1:54" ht="14.1" customHeight="1" x14ac:dyDescent="0.25">
      <c r="A30" s="12" t="s">
        <v>240</v>
      </c>
      <c r="B30" s="13">
        <v>117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5">
        <f>SUM(C30:AZ30)</f>
        <v>0</v>
      </c>
      <c r="BB30" s="13">
        <f>BA30*B30</f>
        <v>0</v>
      </c>
    </row>
    <row r="31" spans="1:54" ht="14.1" customHeight="1" x14ac:dyDescent="0.25">
      <c r="A31" s="12" t="s">
        <v>27</v>
      </c>
      <c r="B31" s="13">
        <v>164</v>
      </c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  <c r="AE31" s="14"/>
      <c r="AF31" s="14"/>
      <c r="AG31" s="14"/>
      <c r="AH31" s="14"/>
      <c r="AI31" s="14"/>
      <c r="AJ31" s="14"/>
      <c r="AK31" s="14"/>
      <c r="AL31" s="14"/>
      <c r="AM31" s="14"/>
      <c r="AN31" s="14"/>
      <c r="AO31" s="14"/>
      <c r="AP31" s="14"/>
      <c r="AQ31" s="14"/>
      <c r="AR31" s="14"/>
      <c r="AS31" s="14"/>
      <c r="AT31" s="14"/>
      <c r="AU31" s="14"/>
      <c r="AV31" s="14"/>
      <c r="AW31" s="14"/>
      <c r="AX31" s="14"/>
      <c r="AY31" s="14"/>
      <c r="AZ31" s="14"/>
      <c r="BA31" s="15">
        <f>SUM(C31:AZ31)</f>
        <v>0</v>
      </c>
      <c r="BB31" s="13">
        <f>BA31*B31</f>
        <v>0</v>
      </c>
    </row>
    <row r="32" spans="1:54" ht="14.1" customHeight="1" x14ac:dyDescent="0.25">
      <c r="A32" s="12" t="s">
        <v>29</v>
      </c>
      <c r="B32" s="13">
        <v>224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5">
        <f>SUM(C32:AZ32)</f>
        <v>0</v>
      </c>
      <c r="BB32" s="13">
        <f>BA32*B32</f>
        <v>0</v>
      </c>
    </row>
    <row r="33" spans="1:54" x14ac:dyDescent="0.25">
      <c r="A33" s="10" t="s">
        <v>30</v>
      </c>
      <c r="B33" s="11"/>
      <c r="C33" s="11"/>
      <c r="D33" s="11"/>
      <c r="E33" s="11"/>
      <c r="F33" s="11"/>
      <c r="G33" s="11"/>
      <c r="H33" s="11"/>
      <c r="I33" s="11"/>
      <c r="J33" s="11"/>
      <c r="K33" s="11"/>
      <c r="L33" s="11"/>
      <c r="M33" s="11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  <c r="AA33" s="11"/>
      <c r="AB33" s="11"/>
      <c r="AC33" s="11"/>
      <c r="AD33" s="11"/>
      <c r="AE33" s="11"/>
      <c r="AF33" s="11"/>
      <c r="AG33" s="11"/>
      <c r="AH33" s="11"/>
      <c r="AI33" s="11"/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</row>
    <row r="34" spans="1:54" ht="14.1" customHeight="1" x14ac:dyDescent="0.25">
      <c r="A34" s="12" t="s">
        <v>31</v>
      </c>
      <c r="B34" s="13">
        <v>184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5">
        <f>SUM(C34:AZ34)</f>
        <v>0</v>
      </c>
      <c r="BB34" s="13">
        <f>BA34*B34</f>
        <v>0</v>
      </c>
    </row>
    <row r="35" spans="1:54" ht="14.1" customHeight="1" x14ac:dyDescent="0.25">
      <c r="A35" s="12" t="s">
        <v>32</v>
      </c>
      <c r="B35" s="13">
        <v>173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5">
        <f>SUM(C35:AZ35)</f>
        <v>0</v>
      </c>
      <c r="BB35" s="13">
        <f>BA35*B35</f>
        <v>0</v>
      </c>
    </row>
    <row r="36" spans="1:54" ht="14.1" customHeight="1" x14ac:dyDescent="0.25">
      <c r="A36" s="12" t="s">
        <v>33</v>
      </c>
      <c r="B36" s="13">
        <v>142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5">
        <f>SUM(C36:AZ36)</f>
        <v>0</v>
      </c>
      <c r="BB36" s="13">
        <f>BA36*B36</f>
        <v>0</v>
      </c>
    </row>
    <row r="37" spans="1:54" ht="14.1" customHeight="1" x14ac:dyDescent="0.25">
      <c r="A37" s="12" t="s">
        <v>34</v>
      </c>
      <c r="B37" s="13">
        <v>142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5">
        <f>SUM(C37:AZ37)</f>
        <v>0</v>
      </c>
      <c r="BB37" s="13">
        <f>BA37*B37</f>
        <v>0</v>
      </c>
    </row>
    <row r="38" spans="1:54" ht="14.1" customHeight="1" x14ac:dyDescent="0.25">
      <c r="A38" s="12" t="s">
        <v>35</v>
      </c>
      <c r="B38" s="13">
        <v>142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5">
        <f>SUM(C38:AZ38)</f>
        <v>0</v>
      </c>
      <c r="BB38" s="13">
        <f>BA38*B38</f>
        <v>0</v>
      </c>
    </row>
    <row r="39" spans="1:54" ht="14.1" customHeight="1" x14ac:dyDescent="0.25">
      <c r="A39" s="12" t="s">
        <v>36</v>
      </c>
      <c r="B39" s="13">
        <v>149</v>
      </c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5">
        <f>SUM(C39:AZ39)</f>
        <v>0</v>
      </c>
      <c r="BB39" s="13">
        <f>BA39*B39</f>
        <v>0</v>
      </c>
    </row>
    <row r="40" spans="1:54" ht="14.1" customHeight="1" x14ac:dyDescent="0.25">
      <c r="A40" s="12" t="s">
        <v>37</v>
      </c>
      <c r="B40" s="13">
        <v>151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5">
        <f>SUM(C40:AZ40)</f>
        <v>0</v>
      </c>
      <c r="BB40" s="13">
        <f>BA40*B40</f>
        <v>0</v>
      </c>
    </row>
    <row r="41" spans="1:54" ht="14.1" customHeight="1" x14ac:dyDescent="0.25">
      <c r="A41" s="12" t="s">
        <v>38</v>
      </c>
      <c r="B41" s="13">
        <v>124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5">
        <f>SUM(C41:AZ41)</f>
        <v>0</v>
      </c>
      <c r="BB41" s="13">
        <f>BA41*B41</f>
        <v>0</v>
      </c>
    </row>
    <row r="42" spans="1:54" ht="14.1" customHeight="1" x14ac:dyDescent="0.25">
      <c r="A42" s="12" t="s">
        <v>39</v>
      </c>
      <c r="B42" s="13">
        <v>124</v>
      </c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5">
        <f>SUM(C42:AZ42)</f>
        <v>0</v>
      </c>
      <c r="BB42" s="13">
        <f>BA42*B42</f>
        <v>0</v>
      </c>
    </row>
    <row r="43" spans="1:54" ht="14.1" customHeight="1" x14ac:dyDescent="0.25">
      <c r="A43" s="12" t="s">
        <v>41</v>
      </c>
      <c r="B43" s="13">
        <v>138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5">
        <f>SUM(C43:AZ43)</f>
        <v>0</v>
      </c>
      <c r="BB43" s="13">
        <f>BA43*B43</f>
        <v>0</v>
      </c>
    </row>
    <row r="44" spans="1:54" ht="14.1" customHeight="1" x14ac:dyDescent="0.25">
      <c r="A44" s="12" t="s">
        <v>40</v>
      </c>
      <c r="B44" s="13">
        <v>135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5">
        <f>SUM(C44:AZ44)</f>
        <v>0</v>
      </c>
      <c r="BB44" s="13">
        <f>BA44*B44</f>
        <v>0</v>
      </c>
    </row>
    <row r="45" spans="1:54" x14ac:dyDescent="0.25">
      <c r="A45" s="10" t="s">
        <v>44</v>
      </c>
      <c r="B45" s="11"/>
      <c r="C45" s="11"/>
      <c r="D45" s="11"/>
      <c r="E45" s="11"/>
      <c r="F45" s="11"/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  <c r="AA45" s="11"/>
      <c r="AB45" s="11"/>
      <c r="AC45" s="11"/>
      <c r="AD45" s="11"/>
      <c r="AE45" s="11"/>
      <c r="AF45" s="11"/>
      <c r="AG45" s="11"/>
      <c r="AH45" s="11"/>
      <c r="AI45" s="11"/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</row>
    <row r="46" spans="1:54" ht="14.1" customHeight="1" x14ac:dyDescent="0.25">
      <c r="A46" s="12" t="s">
        <v>241</v>
      </c>
      <c r="B46" s="13">
        <v>149</v>
      </c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5">
        <f>SUM(C46:AZ46)</f>
        <v>0</v>
      </c>
      <c r="BB46" s="13">
        <f>BA46*B46</f>
        <v>0</v>
      </c>
    </row>
    <row r="47" spans="1:54" ht="14.1" customHeight="1" x14ac:dyDescent="0.25">
      <c r="A47" s="12" t="s">
        <v>242</v>
      </c>
      <c r="B47" s="13">
        <v>154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5">
        <f>SUM(C47:AZ47)</f>
        <v>0</v>
      </c>
      <c r="BB47" s="13">
        <f>BA47*B47</f>
        <v>0</v>
      </c>
    </row>
    <row r="48" spans="1:54" x14ac:dyDescent="0.25">
      <c r="A48" s="10" t="s">
        <v>47</v>
      </c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</row>
    <row r="49" spans="1:54" ht="14.1" customHeight="1" x14ac:dyDescent="0.25">
      <c r="A49" s="12" t="s">
        <v>73</v>
      </c>
      <c r="B49" s="13">
        <v>191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5">
        <f>SUM(C49:AZ49)</f>
        <v>0</v>
      </c>
      <c r="BB49" s="13">
        <f>BA49*B49</f>
        <v>0</v>
      </c>
    </row>
    <row r="50" spans="1:54" ht="14.1" customHeight="1" x14ac:dyDescent="0.25">
      <c r="A50" s="12" t="s">
        <v>49</v>
      </c>
      <c r="B50" s="13">
        <v>273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5">
        <f>SUM(C50:AZ50)</f>
        <v>0</v>
      </c>
      <c r="BB50" s="13">
        <f>BA50*B50</f>
        <v>0</v>
      </c>
    </row>
    <row r="51" spans="1:54" ht="14.1" customHeight="1" x14ac:dyDescent="0.25">
      <c r="A51" s="12" t="s">
        <v>48</v>
      </c>
      <c r="B51" s="13">
        <v>245</v>
      </c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5">
        <f>SUM(C51:AZ51)</f>
        <v>0</v>
      </c>
      <c r="BB51" s="13">
        <f>BA51*B51</f>
        <v>0</v>
      </c>
    </row>
    <row r="52" spans="1:54" ht="14.1" customHeight="1" x14ac:dyDescent="0.25">
      <c r="A52" s="12" t="s">
        <v>60</v>
      </c>
      <c r="B52" s="13">
        <v>219</v>
      </c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5">
        <f>SUM(C52:AZ52)</f>
        <v>0</v>
      </c>
      <c r="BB52" s="13">
        <f>BA52*B52</f>
        <v>0</v>
      </c>
    </row>
    <row r="53" spans="1:54" ht="14.1" customHeight="1" x14ac:dyDescent="0.25">
      <c r="A53" s="12" t="s">
        <v>91</v>
      </c>
      <c r="B53" s="13">
        <v>164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5">
        <f>SUM(C53:AZ53)</f>
        <v>0</v>
      </c>
      <c r="BB53" s="13">
        <f>BA53*B53</f>
        <v>0</v>
      </c>
    </row>
    <row r="54" spans="1:54" ht="14.1" customHeight="1" x14ac:dyDescent="0.25">
      <c r="A54" s="12" t="s">
        <v>52</v>
      </c>
      <c r="B54" s="13">
        <v>178</v>
      </c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5">
        <f>SUM(C54:AZ54)</f>
        <v>0</v>
      </c>
      <c r="BB54" s="13">
        <f>BA54*B54</f>
        <v>0</v>
      </c>
    </row>
    <row r="55" spans="1:54" ht="14.1" customHeight="1" x14ac:dyDescent="0.25">
      <c r="A55" s="12" t="s">
        <v>93</v>
      </c>
      <c r="B55" s="13">
        <v>178</v>
      </c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5">
        <f>SUM(C55:AZ55)</f>
        <v>0</v>
      </c>
      <c r="BB55" s="13">
        <f>BA55*B55</f>
        <v>0</v>
      </c>
    </row>
    <row r="56" spans="1:54" ht="14.1" customHeight="1" x14ac:dyDescent="0.25">
      <c r="A56" s="12" t="s">
        <v>92</v>
      </c>
      <c r="B56" s="13">
        <v>137</v>
      </c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5">
        <f>SUM(C56:AZ56)</f>
        <v>0</v>
      </c>
      <c r="BB56" s="13">
        <f>BA56*B56</f>
        <v>0</v>
      </c>
    </row>
    <row r="57" spans="1:54" ht="14.1" customHeight="1" x14ac:dyDescent="0.25">
      <c r="A57" s="12" t="s">
        <v>53</v>
      </c>
      <c r="B57" s="13">
        <v>219</v>
      </c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15">
        <f>SUM(C57:AZ57)</f>
        <v>0</v>
      </c>
      <c r="BB57" s="13">
        <f>BA57*B57</f>
        <v>0</v>
      </c>
    </row>
    <row r="58" spans="1:54" ht="14.1" customHeight="1" x14ac:dyDescent="0.25">
      <c r="A58" s="12" t="s">
        <v>72</v>
      </c>
      <c r="B58" s="13">
        <v>219</v>
      </c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5">
        <f>SUM(C58:AZ58)</f>
        <v>0</v>
      </c>
      <c r="BB58" s="13">
        <f>BA58*B58</f>
        <v>0</v>
      </c>
    </row>
    <row r="59" spans="1:54" ht="14.1" customHeight="1" x14ac:dyDescent="0.25">
      <c r="A59" s="12" t="s">
        <v>54</v>
      </c>
      <c r="B59" s="13">
        <v>205</v>
      </c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5">
        <f>SUM(C59:AZ59)</f>
        <v>0</v>
      </c>
      <c r="BB59" s="13">
        <f>BA59*B59</f>
        <v>0</v>
      </c>
    </row>
    <row r="60" spans="1:54" ht="14.1" customHeight="1" x14ac:dyDescent="0.25">
      <c r="A60" s="12" t="s">
        <v>55</v>
      </c>
      <c r="B60" s="13">
        <v>219</v>
      </c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5">
        <f>SUM(C60:AZ60)</f>
        <v>0</v>
      </c>
      <c r="BB60" s="13">
        <f>BA60*B60</f>
        <v>0</v>
      </c>
    </row>
    <row r="61" spans="1:54" ht="14.1" customHeight="1" x14ac:dyDescent="0.25">
      <c r="A61" s="12" t="s">
        <v>56</v>
      </c>
      <c r="B61" s="13">
        <v>205</v>
      </c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5">
        <f>SUM(C61:AZ61)</f>
        <v>0</v>
      </c>
      <c r="BB61" s="13">
        <f>BA61*B61</f>
        <v>0</v>
      </c>
    </row>
    <row r="62" spans="1:54" ht="14.1" customHeight="1" x14ac:dyDescent="0.25">
      <c r="A62" s="12" t="s">
        <v>57</v>
      </c>
      <c r="B62" s="13">
        <v>205</v>
      </c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5">
        <f>SUM(C62:AZ62)</f>
        <v>0</v>
      </c>
      <c r="BB62" s="13">
        <f>BA62*B62</f>
        <v>0</v>
      </c>
    </row>
    <row r="63" spans="1:54" ht="14.1" customHeight="1" x14ac:dyDescent="0.25">
      <c r="A63" s="12" t="s">
        <v>58</v>
      </c>
      <c r="B63" s="13">
        <v>219</v>
      </c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5">
        <f>SUM(C63:AZ63)</f>
        <v>0</v>
      </c>
      <c r="BB63" s="13">
        <f>BA63*B63</f>
        <v>0</v>
      </c>
    </row>
    <row r="64" spans="1:54" ht="14.1" customHeight="1" x14ac:dyDescent="0.25">
      <c r="A64" s="12" t="s">
        <v>59</v>
      </c>
      <c r="B64" s="13">
        <v>219</v>
      </c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5">
        <f>SUM(C64:AZ64)</f>
        <v>0</v>
      </c>
      <c r="BB64" s="13">
        <f>BA64*B64</f>
        <v>0</v>
      </c>
    </row>
    <row r="65" spans="1:54" ht="14.1" customHeight="1" x14ac:dyDescent="0.25">
      <c r="A65" s="12" t="s">
        <v>61</v>
      </c>
      <c r="B65" s="13">
        <v>205</v>
      </c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15">
        <f>SUM(C65:AZ65)</f>
        <v>0</v>
      </c>
      <c r="BB65" s="13">
        <f>BA65*B65</f>
        <v>0</v>
      </c>
    </row>
    <row r="66" spans="1:54" ht="14.1" customHeight="1" x14ac:dyDescent="0.25">
      <c r="A66" s="12" t="s">
        <v>88</v>
      </c>
      <c r="B66" s="13">
        <v>233</v>
      </c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5">
        <f>SUM(C66:AZ66)</f>
        <v>0</v>
      </c>
      <c r="BB66" s="13">
        <f>BA66*B66</f>
        <v>0</v>
      </c>
    </row>
    <row r="67" spans="1:54" ht="14.1" customHeight="1" x14ac:dyDescent="0.25">
      <c r="A67" s="12" t="s">
        <v>89</v>
      </c>
      <c r="B67" s="13">
        <v>156</v>
      </c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5">
        <f>SUM(C67:AZ67)</f>
        <v>0</v>
      </c>
      <c r="BB67" s="13">
        <f>BA67*B67</f>
        <v>0</v>
      </c>
    </row>
    <row r="68" spans="1:54" ht="14.1" customHeight="1" x14ac:dyDescent="0.25">
      <c r="A68" s="12" t="s">
        <v>62</v>
      </c>
      <c r="B68" s="13">
        <v>219</v>
      </c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5">
        <f>SUM(C68:AZ68)</f>
        <v>0</v>
      </c>
      <c r="BB68" s="13">
        <f>BA68*B68</f>
        <v>0</v>
      </c>
    </row>
    <row r="69" spans="1:54" ht="14.1" customHeight="1" x14ac:dyDescent="0.25">
      <c r="A69" s="12" t="s">
        <v>63</v>
      </c>
      <c r="B69" s="13">
        <v>205</v>
      </c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5">
        <f>SUM(C69:AZ69)</f>
        <v>0</v>
      </c>
      <c r="BB69" s="13">
        <f>BA69*B69</f>
        <v>0</v>
      </c>
    </row>
    <row r="70" spans="1:54" ht="14.1" customHeight="1" x14ac:dyDescent="0.25">
      <c r="A70" s="12" t="s">
        <v>64</v>
      </c>
      <c r="B70" s="13">
        <v>226</v>
      </c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5">
        <f>SUM(C70:AZ70)</f>
        <v>0</v>
      </c>
      <c r="BB70" s="13">
        <f>BA70*B70</f>
        <v>0</v>
      </c>
    </row>
    <row r="71" spans="1:54" ht="14.1" customHeight="1" x14ac:dyDescent="0.25">
      <c r="A71" s="12" t="s">
        <v>71</v>
      </c>
      <c r="B71" s="13">
        <v>184</v>
      </c>
      <c r="C71" s="14"/>
      <c r="D71" s="14"/>
      <c r="E71" s="14"/>
      <c r="F71" s="14"/>
      <c r="G71" s="14"/>
      <c r="H71" s="14"/>
      <c r="I71" s="14"/>
      <c r="J71" s="14"/>
      <c r="K71" s="14"/>
      <c r="L71" s="14"/>
      <c r="M71" s="14"/>
      <c r="N71" s="14"/>
      <c r="O71" s="14"/>
      <c r="P71" s="14"/>
      <c r="Q71" s="14"/>
      <c r="R71" s="14"/>
      <c r="S71" s="14"/>
      <c r="T71" s="14"/>
      <c r="U71" s="14"/>
      <c r="V71" s="14"/>
      <c r="W71" s="14"/>
      <c r="X71" s="14"/>
      <c r="Y71" s="14"/>
      <c r="Z71" s="14"/>
      <c r="AA71" s="14"/>
      <c r="AB71" s="14"/>
      <c r="AC71" s="14"/>
      <c r="AD71" s="14"/>
      <c r="AE71" s="14"/>
      <c r="AF71" s="14"/>
      <c r="AG71" s="14"/>
      <c r="AH71" s="14"/>
      <c r="AI71" s="14"/>
      <c r="AJ71" s="14"/>
      <c r="AK71" s="14"/>
      <c r="AL71" s="14"/>
      <c r="AM71" s="14"/>
      <c r="AN71" s="14"/>
      <c r="AO71" s="14"/>
      <c r="AP71" s="14"/>
      <c r="AQ71" s="14"/>
      <c r="AR71" s="14"/>
      <c r="AS71" s="14"/>
      <c r="AT71" s="14"/>
      <c r="AU71" s="14"/>
      <c r="AV71" s="14"/>
      <c r="AW71" s="14"/>
      <c r="AX71" s="14"/>
      <c r="AY71" s="14"/>
      <c r="AZ71" s="14"/>
      <c r="BA71" s="15">
        <f>SUM(C71:AZ71)</f>
        <v>0</v>
      </c>
      <c r="BB71" s="13">
        <f>BA71*B71</f>
        <v>0</v>
      </c>
    </row>
    <row r="72" spans="1:54" ht="14.1" customHeight="1" x14ac:dyDescent="0.25">
      <c r="A72" s="12" t="s">
        <v>65</v>
      </c>
      <c r="B72" s="13">
        <v>191</v>
      </c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5">
        <f>SUM(C72:AZ72)</f>
        <v>0</v>
      </c>
      <c r="BB72" s="13">
        <f>BA72*B72</f>
        <v>0</v>
      </c>
    </row>
    <row r="73" spans="1:54" ht="14.1" customHeight="1" x14ac:dyDescent="0.25">
      <c r="A73" s="12" t="s">
        <v>66</v>
      </c>
      <c r="B73" s="13">
        <v>212</v>
      </c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5">
        <f>SUM(C73:AZ73)</f>
        <v>0</v>
      </c>
      <c r="BB73" s="13">
        <f>BA73*B73</f>
        <v>0</v>
      </c>
    </row>
    <row r="74" spans="1:54" ht="14.1" customHeight="1" x14ac:dyDescent="0.25">
      <c r="A74" s="12" t="s">
        <v>67</v>
      </c>
      <c r="B74" s="13">
        <v>191</v>
      </c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5">
        <f>SUM(C74:AZ74)</f>
        <v>0</v>
      </c>
      <c r="BB74" s="13">
        <f>BA74*B74</f>
        <v>0</v>
      </c>
    </row>
    <row r="75" spans="1:54" ht="14.1" customHeight="1" x14ac:dyDescent="0.25">
      <c r="A75" s="12" t="s">
        <v>68</v>
      </c>
      <c r="B75" s="13">
        <v>212</v>
      </c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5">
        <f>SUM(C75:AZ75)</f>
        <v>0</v>
      </c>
      <c r="BB75" s="13">
        <f>BA75*B75</f>
        <v>0</v>
      </c>
    </row>
    <row r="76" spans="1:54" ht="14.1" customHeight="1" x14ac:dyDescent="0.25">
      <c r="A76" s="12" t="s">
        <v>69</v>
      </c>
      <c r="B76" s="13">
        <v>212</v>
      </c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5">
        <f>SUM(C76:AZ76)</f>
        <v>0</v>
      </c>
      <c r="BB76" s="13">
        <f>BA76*B76</f>
        <v>0</v>
      </c>
    </row>
    <row r="77" spans="1:54" ht="14.1" customHeight="1" x14ac:dyDescent="0.25">
      <c r="A77" s="12" t="s">
        <v>70</v>
      </c>
      <c r="B77" s="13">
        <v>219</v>
      </c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5">
        <f>SUM(C77:AZ77)</f>
        <v>0</v>
      </c>
      <c r="BB77" s="13">
        <f>BA77*B77</f>
        <v>0</v>
      </c>
    </row>
    <row r="78" spans="1:54" ht="14.1" customHeight="1" x14ac:dyDescent="0.25">
      <c r="A78" s="12" t="s">
        <v>77</v>
      </c>
      <c r="B78" s="13">
        <v>219</v>
      </c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5">
        <f>SUM(C78:AZ78)</f>
        <v>0</v>
      </c>
      <c r="BB78" s="13">
        <f>BA78*B78</f>
        <v>0</v>
      </c>
    </row>
    <row r="79" spans="1:54" ht="14.1" customHeight="1" x14ac:dyDescent="0.25">
      <c r="A79" s="12" t="s">
        <v>75</v>
      </c>
      <c r="B79" s="13">
        <v>205</v>
      </c>
      <c r="C79" s="14"/>
      <c r="D79" s="14"/>
      <c r="E79" s="14"/>
      <c r="F79" s="14"/>
      <c r="G79" s="14"/>
      <c r="H79" s="14"/>
      <c r="I79" s="14"/>
      <c r="J79" s="14"/>
      <c r="K79" s="14"/>
      <c r="L79" s="14"/>
      <c r="M79" s="14"/>
      <c r="N79" s="14"/>
      <c r="O79" s="14"/>
      <c r="P79" s="14"/>
      <c r="Q79" s="14"/>
      <c r="R79" s="14"/>
      <c r="S79" s="14"/>
      <c r="T79" s="14"/>
      <c r="U79" s="14"/>
      <c r="V79" s="14"/>
      <c r="W79" s="14"/>
      <c r="X79" s="14"/>
      <c r="Y79" s="14"/>
      <c r="Z79" s="14"/>
      <c r="AA79" s="14"/>
      <c r="AB79" s="14"/>
      <c r="AC79" s="14"/>
      <c r="AD79" s="14"/>
      <c r="AE79" s="14"/>
      <c r="AF79" s="14"/>
      <c r="AG79" s="14"/>
      <c r="AH79" s="14"/>
      <c r="AI79" s="14"/>
      <c r="AJ79" s="14"/>
      <c r="AK79" s="14"/>
      <c r="AL79" s="14"/>
      <c r="AM79" s="14"/>
      <c r="AN79" s="14"/>
      <c r="AO79" s="14"/>
      <c r="AP79" s="14"/>
      <c r="AQ79" s="14"/>
      <c r="AR79" s="14"/>
      <c r="AS79" s="14"/>
      <c r="AT79" s="14"/>
      <c r="AU79" s="14"/>
      <c r="AV79" s="14"/>
      <c r="AW79" s="14"/>
      <c r="AX79" s="14"/>
      <c r="AY79" s="14"/>
      <c r="AZ79" s="14"/>
      <c r="BA79" s="15">
        <f>SUM(C79:AZ79)</f>
        <v>0</v>
      </c>
      <c r="BB79" s="13">
        <f>BA79*B79</f>
        <v>0</v>
      </c>
    </row>
    <row r="80" spans="1:54" ht="14.1" customHeight="1" x14ac:dyDescent="0.25">
      <c r="A80" s="12" t="s">
        <v>76</v>
      </c>
      <c r="B80" s="13">
        <v>219</v>
      </c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5">
        <f>SUM(C80:AZ80)</f>
        <v>0</v>
      </c>
      <c r="BB80" s="13">
        <f>BA80*B80</f>
        <v>0</v>
      </c>
    </row>
    <row r="81" spans="1:54" ht="14.1" customHeight="1" x14ac:dyDescent="0.25">
      <c r="A81" s="12" t="s">
        <v>74</v>
      </c>
      <c r="B81" s="13">
        <v>233</v>
      </c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5">
        <f>SUM(C81:AZ81)</f>
        <v>0</v>
      </c>
      <c r="BB81" s="13">
        <f>BA81*B81</f>
        <v>0</v>
      </c>
    </row>
    <row r="82" spans="1:54" ht="14.1" customHeight="1" x14ac:dyDescent="0.25">
      <c r="A82" s="12" t="s">
        <v>82</v>
      </c>
      <c r="B82" s="13">
        <v>219</v>
      </c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5">
        <f>SUM(C82:AZ82)</f>
        <v>0</v>
      </c>
      <c r="BB82" s="13">
        <f>BA82*B82</f>
        <v>0</v>
      </c>
    </row>
    <row r="83" spans="1:54" ht="14.1" customHeight="1" x14ac:dyDescent="0.25">
      <c r="A83" s="12" t="s">
        <v>83</v>
      </c>
      <c r="B83" s="13">
        <v>205</v>
      </c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5">
        <f>SUM(C83:AZ83)</f>
        <v>0</v>
      </c>
      <c r="BB83" s="13">
        <f>BA83*B83</f>
        <v>0</v>
      </c>
    </row>
    <row r="84" spans="1:54" ht="14.1" customHeight="1" x14ac:dyDescent="0.25">
      <c r="A84" s="12" t="s">
        <v>78</v>
      </c>
      <c r="B84" s="13">
        <v>273</v>
      </c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5">
        <f>SUM(C84:AZ84)</f>
        <v>0</v>
      </c>
      <c r="BB84" s="13">
        <f>BA84*B84</f>
        <v>0</v>
      </c>
    </row>
    <row r="85" spans="1:54" ht="14.1" customHeight="1" x14ac:dyDescent="0.25">
      <c r="A85" s="12" t="s">
        <v>79</v>
      </c>
      <c r="B85" s="13">
        <v>476</v>
      </c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5">
        <f>SUM(C85:AZ85)</f>
        <v>0</v>
      </c>
      <c r="BB85" s="13">
        <f>BA85*B85</f>
        <v>0</v>
      </c>
    </row>
    <row r="86" spans="1:54" ht="14.1" customHeight="1" x14ac:dyDescent="0.25">
      <c r="A86" s="12" t="s">
        <v>80</v>
      </c>
      <c r="B86" s="13">
        <v>205</v>
      </c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5">
        <f>SUM(C86:AZ86)</f>
        <v>0</v>
      </c>
      <c r="BB86" s="13">
        <f>BA86*B86</f>
        <v>0</v>
      </c>
    </row>
    <row r="87" spans="1:54" ht="14.1" customHeight="1" x14ac:dyDescent="0.25">
      <c r="A87" s="12" t="s">
        <v>81</v>
      </c>
      <c r="B87" s="13">
        <v>245</v>
      </c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5">
        <f>SUM(C87:AZ87)</f>
        <v>0</v>
      </c>
      <c r="BB87" s="13">
        <f>BA87*B87</f>
        <v>0</v>
      </c>
    </row>
    <row r="88" spans="1:54" ht="14.1" customHeight="1" x14ac:dyDescent="0.25">
      <c r="A88" s="12" t="s">
        <v>84</v>
      </c>
      <c r="B88" s="13">
        <v>224</v>
      </c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5">
        <f>SUM(C88:AZ88)</f>
        <v>0</v>
      </c>
      <c r="BB88" s="13">
        <f>BA88*B88</f>
        <v>0</v>
      </c>
    </row>
    <row r="89" spans="1:54" ht="14.1" customHeight="1" x14ac:dyDescent="0.25">
      <c r="A89" s="12" t="s">
        <v>85</v>
      </c>
      <c r="B89" s="13">
        <v>187</v>
      </c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5">
        <f>SUM(C89:AZ89)</f>
        <v>0</v>
      </c>
      <c r="BB89" s="13">
        <f>BA89*B89</f>
        <v>0</v>
      </c>
    </row>
    <row r="90" spans="1:54" ht="14.1" customHeight="1" x14ac:dyDescent="0.25">
      <c r="A90" s="12" t="s">
        <v>86</v>
      </c>
      <c r="B90" s="13">
        <v>178</v>
      </c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5">
        <f>SUM(C90:AZ90)</f>
        <v>0</v>
      </c>
      <c r="BB90" s="13">
        <f>BA90*B90</f>
        <v>0</v>
      </c>
    </row>
    <row r="91" spans="1:54" ht="14.1" customHeight="1" x14ac:dyDescent="0.25">
      <c r="A91" s="12" t="s">
        <v>87</v>
      </c>
      <c r="B91" s="13">
        <v>191</v>
      </c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5">
        <f>SUM(C91:AZ91)</f>
        <v>0</v>
      </c>
      <c r="BB91" s="13">
        <f>BA91*B91</f>
        <v>0</v>
      </c>
    </row>
    <row r="92" spans="1:54" ht="14.1" customHeight="1" x14ac:dyDescent="0.25">
      <c r="A92" s="12" t="s">
        <v>243</v>
      </c>
      <c r="B92" s="13">
        <v>190</v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5">
        <f>SUM(C92:AZ92)</f>
        <v>0</v>
      </c>
      <c r="BB92" s="13">
        <f>BA92*B92</f>
        <v>0</v>
      </c>
    </row>
    <row r="93" spans="1:54" ht="14.1" customHeight="1" x14ac:dyDescent="0.25">
      <c r="A93" s="12" t="s">
        <v>223</v>
      </c>
      <c r="B93" s="13">
        <v>178</v>
      </c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5">
        <f>SUM(C93:AZ93)</f>
        <v>0</v>
      </c>
      <c r="BB93" s="13">
        <f>BA93*B93</f>
        <v>0</v>
      </c>
    </row>
    <row r="94" spans="1:54" ht="14.1" customHeight="1" x14ac:dyDescent="0.25">
      <c r="A94" s="12" t="s">
        <v>244</v>
      </c>
      <c r="B94" s="13">
        <v>202</v>
      </c>
      <c r="C94" s="14"/>
      <c r="D94" s="14"/>
      <c r="E94" s="14"/>
      <c r="F94" s="14"/>
      <c r="G94" s="14"/>
      <c r="H94" s="14"/>
      <c r="I94" s="14"/>
      <c r="J94" s="14"/>
      <c r="K94" s="14"/>
      <c r="L94" s="14"/>
      <c r="M94" s="14"/>
      <c r="N94" s="14"/>
      <c r="O94" s="14"/>
      <c r="P94" s="14"/>
      <c r="Q94" s="14"/>
      <c r="R94" s="14"/>
      <c r="S94" s="14"/>
      <c r="T94" s="14"/>
      <c r="U94" s="14"/>
      <c r="V94" s="14"/>
      <c r="W94" s="14"/>
      <c r="X94" s="14"/>
      <c r="Y94" s="14"/>
      <c r="Z94" s="14"/>
      <c r="AA94" s="14"/>
      <c r="AB94" s="14"/>
      <c r="AC94" s="14"/>
      <c r="AD94" s="14"/>
      <c r="AE94" s="14"/>
      <c r="AF94" s="14"/>
      <c r="AG94" s="14"/>
      <c r="AH94" s="14"/>
      <c r="AI94" s="14"/>
      <c r="AJ94" s="14"/>
      <c r="AK94" s="14"/>
      <c r="AL94" s="14"/>
      <c r="AM94" s="14"/>
      <c r="AN94" s="14"/>
      <c r="AO94" s="14"/>
      <c r="AP94" s="14"/>
      <c r="AQ94" s="14"/>
      <c r="AR94" s="14"/>
      <c r="AS94" s="14"/>
      <c r="AT94" s="14"/>
      <c r="AU94" s="14"/>
      <c r="AV94" s="14"/>
      <c r="AW94" s="14"/>
      <c r="AX94" s="14"/>
      <c r="AY94" s="14"/>
      <c r="AZ94" s="14"/>
      <c r="BA94" s="15">
        <f>SUM(C94:AZ94)</f>
        <v>0</v>
      </c>
      <c r="BB94" s="13">
        <f>BA94*B94</f>
        <v>0</v>
      </c>
    </row>
    <row r="95" spans="1:54" ht="14.1" customHeight="1" x14ac:dyDescent="0.25">
      <c r="A95" s="12" t="s">
        <v>90</v>
      </c>
      <c r="B95" s="13">
        <v>219</v>
      </c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5">
        <f>SUM(C95:AZ95)</f>
        <v>0</v>
      </c>
      <c r="BB95" s="13">
        <f>BA95*B95</f>
        <v>0</v>
      </c>
    </row>
    <row r="96" spans="1:54" x14ac:dyDescent="0.25">
      <c r="A96" s="10" t="s">
        <v>94</v>
      </c>
      <c r="B96" s="11"/>
      <c r="C96" s="11"/>
      <c r="D96" s="11"/>
      <c r="E96" s="11"/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  <c r="AA96" s="11"/>
      <c r="AB96" s="11"/>
      <c r="AC96" s="11"/>
      <c r="AD96" s="11"/>
      <c r="AE96" s="11"/>
      <c r="AF96" s="11"/>
      <c r="AG96" s="11"/>
      <c r="AH96" s="11"/>
      <c r="AI96" s="11"/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</row>
    <row r="97" spans="1:54" ht="14.1" customHeight="1" x14ac:dyDescent="0.25">
      <c r="A97" s="12" t="s">
        <v>245</v>
      </c>
      <c r="B97" s="13">
        <v>132</v>
      </c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5">
        <f>SUM(C97:AZ97)</f>
        <v>0</v>
      </c>
      <c r="BB97" s="13">
        <f>BA97*B97</f>
        <v>0</v>
      </c>
    </row>
    <row r="98" spans="1:54" ht="14.1" customHeight="1" x14ac:dyDescent="0.25">
      <c r="A98" s="12" t="s">
        <v>96</v>
      </c>
      <c r="B98" s="13">
        <v>96</v>
      </c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5">
        <f>SUM(C98:AZ98)</f>
        <v>0</v>
      </c>
      <c r="BB98" s="13">
        <f>BA98*B98</f>
        <v>0</v>
      </c>
    </row>
    <row r="99" spans="1:54" ht="14.1" customHeight="1" x14ac:dyDescent="0.25">
      <c r="A99" s="12" t="s">
        <v>246</v>
      </c>
      <c r="B99" s="13">
        <v>96</v>
      </c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5">
        <f>SUM(C99:AZ99)</f>
        <v>0</v>
      </c>
      <c r="BB99" s="13">
        <f>BA99*B99</f>
        <v>0</v>
      </c>
    </row>
    <row r="100" spans="1:54" ht="14.1" customHeight="1" x14ac:dyDescent="0.25">
      <c r="A100" s="12" t="s">
        <v>98</v>
      </c>
      <c r="B100" s="13">
        <v>108</v>
      </c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5">
        <f>SUM(C100:AZ100)</f>
        <v>0</v>
      </c>
      <c r="BB100" s="13">
        <f>BA100*B100</f>
        <v>0</v>
      </c>
    </row>
    <row r="101" spans="1:54" x14ac:dyDescent="0.25">
      <c r="A101" s="10" t="s">
        <v>99</v>
      </c>
      <c r="B101" s="11"/>
      <c r="C101" s="11"/>
      <c r="D101" s="11"/>
      <c r="E101" s="11"/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  <c r="AA101" s="11"/>
      <c r="AB101" s="11"/>
      <c r="AC101" s="11"/>
      <c r="AD101" s="11"/>
      <c r="AE101" s="11"/>
      <c r="AF101" s="11"/>
      <c r="AG101" s="11"/>
      <c r="AH101" s="11"/>
      <c r="AI101" s="11"/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</row>
    <row r="102" spans="1:54" ht="14.1" customHeight="1" x14ac:dyDescent="0.25">
      <c r="A102" s="12" t="s">
        <v>100</v>
      </c>
      <c r="B102" s="13">
        <v>96</v>
      </c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5">
        <f>SUM(C102:AZ102)</f>
        <v>0</v>
      </c>
      <c r="BB102" s="13">
        <f>BA102*B102</f>
        <v>0</v>
      </c>
    </row>
    <row r="103" spans="1:54" ht="14.1" customHeight="1" x14ac:dyDescent="0.25">
      <c r="A103" s="12" t="s">
        <v>102</v>
      </c>
      <c r="B103" s="13">
        <v>98</v>
      </c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5">
        <f>SUM(C103:AZ103)</f>
        <v>0</v>
      </c>
      <c r="BB103" s="13">
        <f>BA103*B103</f>
        <v>0</v>
      </c>
    </row>
    <row r="104" spans="1:54" ht="14.1" customHeight="1" x14ac:dyDescent="0.25">
      <c r="A104" s="12" t="s">
        <v>103</v>
      </c>
      <c r="B104" s="13">
        <v>140</v>
      </c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5">
        <f>SUM(C104:AZ104)</f>
        <v>0</v>
      </c>
      <c r="BB104" s="13">
        <f>BA104*B104</f>
        <v>0</v>
      </c>
    </row>
    <row r="105" spans="1:54" ht="14.1" customHeight="1" x14ac:dyDescent="0.25">
      <c r="A105" s="12" t="s">
        <v>104</v>
      </c>
      <c r="B105" s="13">
        <v>161</v>
      </c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5">
        <f>SUM(C105:AZ105)</f>
        <v>0</v>
      </c>
      <c r="BB105" s="13">
        <f>BA105*B105</f>
        <v>0</v>
      </c>
    </row>
    <row r="106" spans="1:54" ht="14.1" customHeight="1" x14ac:dyDescent="0.25">
      <c r="A106" s="12" t="s">
        <v>105</v>
      </c>
      <c r="B106" s="13">
        <v>127</v>
      </c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5">
        <f>SUM(C106:AZ106)</f>
        <v>0</v>
      </c>
      <c r="BB106" s="13">
        <f>BA106*B106</f>
        <v>0</v>
      </c>
    </row>
    <row r="107" spans="1:54" ht="14.1" customHeight="1" x14ac:dyDescent="0.25">
      <c r="A107" s="12" t="s">
        <v>101</v>
      </c>
      <c r="B107" s="13">
        <v>178</v>
      </c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5">
        <f>SUM(C107:AZ107)</f>
        <v>0</v>
      </c>
      <c r="BB107" s="13">
        <f>BA107*B107</f>
        <v>0</v>
      </c>
    </row>
    <row r="108" spans="1:54" ht="14.1" customHeight="1" x14ac:dyDescent="0.25">
      <c r="A108" s="12" t="s">
        <v>106</v>
      </c>
      <c r="B108" s="13">
        <v>157</v>
      </c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5">
        <f>SUM(C108:AZ108)</f>
        <v>0</v>
      </c>
      <c r="BB108" s="13">
        <f>BA108*B108</f>
        <v>0</v>
      </c>
    </row>
    <row r="109" spans="1:54" ht="14.1" customHeight="1" x14ac:dyDescent="0.25">
      <c r="A109" s="12" t="s">
        <v>107</v>
      </c>
      <c r="B109" s="13">
        <v>178</v>
      </c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5">
        <f>SUM(C109:AZ109)</f>
        <v>0</v>
      </c>
      <c r="BB109" s="13">
        <f>BA109*B109</f>
        <v>0</v>
      </c>
    </row>
    <row r="110" spans="1:54" ht="14.1" customHeight="1" x14ac:dyDescent="0.25">
      <c r="A110" s="12" t="s">
        <v>108</v>
      </c>
      <c r="B110" s="13">
        <v>151</v>
      </c>
      <c r="C110" s="14"/>
      <c r="D110" s="14"/>
      <c r="E110" s="14"/>
      <c r="F110" s="14"/>
      <c r="G110" s="14"/>
      <c r="H110" s="14"/>
      <c r="I110" s="14"/>
      <c r="J110" s="14"/>
      <c r="K110" s="14"/>
      <c r="L110" s="14"/>
      <c r="M110" s="14"/>
      <c r="N110" s="14"/>
      <c r="O110" s="14"/>
      <c r="P110" s="14"/>
      <c r="Q110" s="14"/>
      <c r="R110" s="14"/>
      <c r="S110" s="14"/>
      <c r="T110" s="14"/>
      <c r="U110" s="14"/>
      <c r="V110" s="14"/>
      <c r="W110" s="14"/>
      <c r="X110" s="14"/>
      <c r="Y110" s="14"/>
      <c r="Z110" s="14"/>
      <c r="AA110" s="14"/>
      <c r="AB110" s="14"/>
      <c r="AC110" s="14"/>
      <c r="AD110" s="14"/>
      <c r="AE110" s="14"/>
      <c r="AF110" s="14"/>
      <c r="AG110" s="14"/>
      <c r="AH110" s="14"/>
      <c r="AI110" s="14"/>
      <c r="AJ110" s="14"/>
      <c r="AK110" s="14"/>
      <c r="AL110" s="14"/>
      <c r="AM110" s="14"/>
      <c r="AN110" s="14"/>
      <c r="AO110" s="14"/>
      <c r="AP110" s="14"/>
      <c r="AQ110" s="14"/>
      <c r="AR110" s="14"/>
      <c r="AS110" s="14"/>
      <c r="AT110" s="14"/>
      <c r="AU110" s="14"/>
      <c r="AV110" s="14"/>
      <c r="AW110" s="14"/>
      <c r="AX110" s="14"/>
      <c r="AY110" s="14"/>
      <c r="AZ110" s="14"/>
      <c r="BA110" s="15">
        <f>SUM(C110:AZ110)</f>
        <v>0</v>
      </c>
      <c r="BB110" s="13">
        <f>BA110*B110</f>
        <v>0</v>
      </c>
    </row>
    <row r="111" spans="1:54" ht="14.1" customHeight="1" x14ac:dyDescent="0.25">
      <c r="A111" s="12" t="s">
        <v>109</v>
      </c>
      <c r="B111" s="13">
        <v>117</v>
      </c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15">
        <f>SUM(C111:AZ111)</f>
        <v>0</v>
      </c>
      <c r="BB111" s="13">
        <f>BA111*B111</f>
        <v>0</v>
      </c>
    </row>
    <row r="112" spans="1:54" ht="14.1" customHeight="1" x14ac:dyDescent="0.25">
      <c r="A112" s="12" t="s">
        <v>110</v>
      </c>
      <c r="B112" s="13">
        <v>151</v>
      </c>
      <c r="C112" s="14"/>
      <c r="D112" s="14"/>
      <c r="E112" s="14"/>
      <c r="F112" s="14"/>
      <c r="G112" s="14"/>
      <c r="H112" s="14"/>
      <c r="I112" s="14"/>
      <c r="J112" s="14"/>
      <c r="K112" s="14"/>
      <c r="L112" s="14"/>
      <c r="M112" s="14"/>
      <c r="N112" s="14"/>
      <c r="O112" s="14"/>
      <c r="P112" s="14"/>
      <c r="Q112" s="14"/>
      <c r="R112" s="14"/>
      <c r="S112" s="14"/>
      <c r="T112" s="14"/>
      <c r="U112" s="14"/>
      <c r="V112" s="14"/>
      <c r="W112" s="14"/>
      <c r="X112" s="14"/>
      <c r="Y112" s="14"/>
      <c r="Z112" s="14"/>
      <c r="AA112" s="14"/>
      <c r="AB112" s="14"/>
      <c r="AC112" s="14"/>
      <c r="AD112" s="14"/>
      <c r="AE112" s="14"/>
      <c r="AF112" s="14"/>
      <c r="AG112" s="14"/>
      <c r="AH112" s="14"/>
      <c r="AI112" s="14"/>
      <c r="AJ112" s="14"/>
      <c r="AK112" s="14"/>
      <c r="AL112" s="14"/>
      <c r="AM112" s="14"/>
      <c r="AN112" s="14"/>
      <c r="AO112" s="14"/>
      <c r="AP112" s="14"/>
      <c r="AQ112" s="14"/>
      <c r="AR112" s="14"/>
      <c r="AS112" s="14"/>
      <c r="AT112" s="14"/>
      <c r="AU112" s="14"/>
      <c r="AV112" s="14"/>
      <c r="AW112" s="14"/>
      <c r="AX112" s="14"/>
      <c r="AY112" s="14"/>
      <c r="AZ112" s="14"/>
      <c r="BA112" s="15">
        <f>SUM(C112:AZ112)</f>
        <v>0</v>
      </c>
      <c r="BB112" s="13">
        <f>BA112*B112</f>
        <v>0</v>
      </c>
    </row>
    <row r="113" spans="1:54" x14ac:dyDescent="0.25">
      <c r="A113" s="10" t="s">
        <v>111</v>
      </c>
      <c r="B113" s="11"/>
      <c r="C113" s="11"/>
      <c r="D113" s="11"/>
      <c r="E113" s="11"/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  <c r="AA113" s="11"/>
      <c r="AB113" s="11"/>
      <c r="AC113" s="11"/>
      <c r="AD113" s="11"/>
      <c r="AE113" s="11"/>
      <c r="AF113" s="11"/>
      <c r="AG113" s="11"/>
      <c r="AH113" s="11"/>
      <c r="AI113" s="11"/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</row>
    <row r="114" spans="1:54" ht="14.1" customHeight="1" x14ac:dyDescent="0.25">
      <c r="A114" s="12" t="s">
        <v>112</v>
      </c>
      <c r="B114" s="13">
        <v>164</v>
      </c>
      <c r="C114" s="14"/>
      <c r="D114" s="14"/>
      <c r="E114" s="14"/>
      <c r="F114" s="14"/>
      <c r="G114" s="14"/>
      <c r="H114" s="14"/>
      <c r="I114" s="14"/>
      <c r="J114" s="14"/>
      <c r="K114" s="14"/>
      <c r="L114" s="14"/>
      <c r="M114" s="14"/>
      <c r="N114" s="14"/>
      <c r="O114" s="14"/>
      <c r="P114" s="14"/>
      <c r="Q114" s="14"/>
      <c r="R114" s="14"/>
      <c r="S114" s="14"/>
      <c r="T114" s="14"/>
      <c r="U114" s="14"/>
      <c r="V114" s="14"/>
      <c r="W114" s="14"/>
      <c r="X114" s="14"/>
      <c r="Y114" s="14"/>
      <c r="Z114" s="14"/>
      <c r="AA114" s="14"/>
      <c r="AB114" s="14"/>
      <c r="AC114" s="14"/>
      <c r="AD114" s="14"/>
      <c r="AE114" s="14"/>
      <c r="AF114" s="14"/>
      <c r="AG114" s="14"/>
      <c r="AH114" s="14"/>
      <c r="AI114" s="14"/>
      <c r="AJ114" s="14"/>
      <c r="AK114" s="14"/>
      <c r="AL114" s="14"/>
      <c r="AM114" s="14"/>
      <c r="AN114" s="14"/>
      <c r="AO114" s="14"/>
      <c r="AP114" s="14"/>
      <c r="AQ114" s="14"/>
      <c r="AR114" s="14"/>
      <c r="AS114" s="14"/>
      <c r="AT114" s="14"/>
      <c r="AU114" s="14"/>
      <c r="AV114" s="14"/>
      <c r="AW114" s="14"/>
      <c r="AX114" s="14"/>
      <c r="AY114" s="14"/>
      <c r="AZ114" s="14"/>
      <c r="BA114" s="15">
        <f>SUM(C114:AZ114)</f>
        <v>0</v>
      </c>
      <c r="BB114" s="13">
        <f>BA114*B114</f>
        <v>0</v>
      </c>
    </row>
    <row r="115" spans="1:54" ht="14.1" customHeight="1" x14ac:dyDescent="0.25">
      <c r="A115" s="12" t="s">
        <v>113</v>
      </c>
      <c r="B115" s="13">
        <v>172</v>
      </c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15">
        <f>SUM(C115:AZ115)</f>
        <v>0</v>
      </c>
      <c r="BB115" s="13">
        <f>BA115*B115</f>
        <v>0</v>
      </c>
    </row>
    <row r="116" spans="1:54" ht="14.1" customHeight="1" x14ac:dyDescent="0.25">
      <c r="A116" s="12" t="s">
        <v>114</v>
      </c>
      <c r="B116" s="13">
        <v>187</v>
      </c>
      <c r="C116" s="14"/>
      <c r="D116" s="14"/>
      <c r="E116" s="14"/>
      <c r="F116" s="14"/>
      <c r="G116" s="14"/>
      <c r="H116" s="14"/>
      <c r="I116" s="14"/>
      <c r="J116" s="14"/>
      <c r="K116" s="14"/>
      <c r="L116" s="14"/>
      <c r="M116" s="14"/>
      <c r="N116" s="14"/>
      <c r="O116" s="14"/>
      <c r="P116" s="14"/>
      <c r="Q116" s="14"/>
      <c r="R116" s="14"/>
      <c r="S116" s="14"/>
      <c r="T116" s="14"/>
      <c r="U116" s="14"/>
      <c r="V116" s="14"/>
      <c r="W116" s="14"/>
      <c r="X116" s="14"/>
      <c r="Y116" s="14"/>
      <c r="Z116" s="14"/>
      <c r="AA116" s="14"/>
      <c r="AB116" s="14"/>
      <c r="AC116" s="14"/>
      <c r="AD116" s="14"/>
      <c r="AE116" s="14"/>
      <c r="AF116" s="14"/>
      <c r="AG116" s="14"/>
      <c r="AH116" s="14"/>
      <c r="AI116" s="14"/>
      <c r="AJ116" s="14"/>
      <c r="AK116" s="14"/>
      <c r="AL116" s="14"/>
      <c r="AM116" s="14"/>
      <c r="AN116" s="14"/>
      <c r="AO116" s="14"/>
      <c r="AP116" s="14"/>
      <c r="AQ116" s="14"/>
      <c r="AR116" s="14"/>
      <c r="AS116" s="14"/>
      <c r="AT116" s="14"/>
      <c r="AU116" s="14"/>
      <c r="AV116" s="14"/>
      <c r="AW116" s="14"/>
      <c r="AX116" s="14"/>
      <c r="AY116" s="14"/>
      <c r="AZ116" s="14"/>
      <c r="BA116" s="15">
        <f>SUM(C116:AZ116)</f>
        <v>0</v>
      </c>
      <c r="BB116" s="13">
        <f>BA116*B116</f>
        <v>0</v>
      </c>
    </row>
    <row r="117" spans="1:54" ht="14.1" customHeight="1" x14ac:dyDescent="0.25">
      <c r="A117" s="12" t="s">
        <v>115</v>
      </c>
      <c r="B117" s="13">
        <v>164</v>
      </c>
      <c r="C117" s="14"/>
      <c r="D117" s="14"/>
      <c r="E117" s="14"/>
      <c r="F117" s="14"/>
      <c r="G117" s="14"/>
      <c r="H117" s="14"/>
      <c r="I117" s="14"/>
      <c r="J117" s="14"/>
      <c r="K117" s="14"/>
      <c r="L117" s="14"/>
      <c r="M117" s="14"/>
      <c r="N117" s="14"/>
      <c r="O117" s="14"/>
      <c r="P117" s="14"/>
      <c r="Q117" s="14"/>
      <c r="R117" s="14"/>
      <c r="S117" s="14"/>
      <c r="T117" s="14"/>
      <c r="U117" s="14"/>
      <c r="V117" s="14"/>
      <c r="W117" s="14"/>
      <c r="X117" s="14"/>
      <c r="Y117" s="14"/>
      <c r="Z117" s="14"/>
      <c r="AA117" s="14"/>
      <c r="AB117" s="14"/>
      <c r="AC117" s="14"/>
      <c r="AD117" s="14"/>
      <c r="AE117" s="14"/>
      <c r="AF117" s="14"/>
      <c r="AG117" s="14"/>
      <c r="AH117" s="14"/>
      <c r="AI117" s="14"/>
      <c r="AJ117" s="14"/>
      <c r="AK117" s="14"/>
      <c r="AL117" s="14"/>
      <c r="AM117" s="14"/>
      <c r="AN117" s="14"/>
      <c r="AO117" s="14"/>
      <c r="AP117" s="14"/>
      <c r="AQ117" s="14"/>
      <c r="AR117" s="14"/>
      <c r="AS117" s="14"/>
      <c r="AT117" s="14"/>
      <c r="AU117" s="14"/>
      <c r="AV117" s="14"/>
      <c r="AW117" s="14"/>
      <c r="AX117" s="14"/>
      <c r="AY117" s="14"/>
      <c r="AZ117" s="14"/>
      <c r="BA117" s="15">
        <f>SUM(C117:AZ117)</f>
        <v>0</v>
      </c>
      <c r="BB117" s="13">
        <f>BA117*B117</f>
        <v>0</v>
      </c>
    </row>
    <row r="118" spans="1:54" ht="14.1" customHeight="1" x14ac:dyDescent="0.25">
      <c r="A118" s="12" t="s">
        <v>116</v>
      </c>
      <c r="B118" s="13">
        <v>179</v>
      </c>
      <c r="C118" s="14"/>
      <c r="D118" s="14"/>
      <c r="E118" s="14"/>
      <c r="F118" s="14"/>
      <c r="G118" s="14"/>
      <c r="H118" s="14"/>
      <c r="I118" s="14"/>
      <c r="J118" s="14"/>
      <c r="K118" s="14"/>
      <c r="L118" s="14"/>
      <c r="M118" s="14"/>
      <c r="N118" s="14"/>
      <c r="O118" s="14"/>
      <c r="P118" s="14"/>
      <c r="Q118" s="14"/>
      <c r="R118" s="14"/>
      <c r="S118" s="14"/>
      <c r="T118" s="14"/>
      <c r="U118" s="14"/>
      <c r="V118" s="14"/>
      <c r="W118" s="14"/>
      <c r="X118" s="14"/>
      <c r="Y118" s="14"/>
      <c r="Z118" s="14"/>
      <c r="AA118" s="14"/>
      <c r="AB118" s="14"/>
      <c r="AC118" s="14"/>
      <c r="AD118" s="14"/>
      <c r="AE118" s="14"/>
      <c r="AF118" s="14"/>
      <c r="AG118" s="14"/>
      <c r="AH118" s="14"/>
      <c r="AI118" s="14"/>
      <c r="AJ118" s="14"/>
      <c r="AK118" s="14"/>
      <c r="AL118" s="14"/>
      <c r="AM118" s="14"/>
      <c r="AN118" s="14"/>
      <c r="AO118" s="14"/>
      <c r="AP118" s="14"/>
      <c r="AQ118" s="14"/>
      <c r="AR118" s="14"/>
      <c r="AS118" s="14"/>
      <c r="AT118" s="14"/>
      <c r="AU118" s="14"/>
      <c r="AV118" s="14"/>
      <c r="AW118" s="14"/>
      <c r="AX118" s="14"/>
      <c r="AY118" s="14"/>
      <c r="AZ118" s="14"/>
      <c r="BA118" s="15">
        <f>SUM(C118:AZ118)</f>
        <v>0</v>
      </c>
      <c r="BB118" s="13">
        <f>BA118*B118</f>
        <v>0</v>
      </c>
    </row>
    <row r="119" spans="1:54" x14ac:dyDescent="0.25">
      <c r="A119" s="10" t="s">
        <v>117</v>
      </c>
      <c r="B119" s="11"/>
      <c r="C119" s="11"/>
      <c r="D119" s="11"/>
      <c r="E119" s="11"/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  <c r="AA119" s="11"/>
      <c r="AB119" s="11"/>
      <c r="AC119" s="11"/>
      <c r="AD119" s="11"/>
      <c r="AE119" s="11"/>
      <c r="AF119" s="11"/>
      <c r="AG119" s="11"/>
      <c r="AH119" s="11"/>
      <c r="AI119" s="11"/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</row>
    <row r="120" spans="1:54" ht="14.1" customHeight="1" x14ac:dyDescent="0.25">
      <c r="A120" s="12" t="s">
        <v>131</v>
      </c>
      <c r="B120" s="13">
        <v>164</v>
      </c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15">
        <f>SUM(C120:AZ120)</f>
        <v>0</v>
      </c>
      <c r="BB120" s="13">
        <f>BA120*B120</f>
        <v>0</v>
      </c>
    </row>
    <row r="121" spans="1:54" ht="14.1" customHeight="1" x14ac:dyDescent="0.25">
      <c r="A121" s="12" t="s">
        <v>118</v>
      </c>
      <c r="B121" s="13">
        <v>164</v>
      </c>
      <c r="C121" s="14"/>
      <c r="D121" s="14"/>
      <c r="E121" s="14"/>
      <c r="F121" s="14"/>
      <c r="G121" s="14"/>
      <c r="H121" s="14"/>
      <c r="I121" s="14"/>
      <c r="J121" s="14"/>
      <c r="K121" s="14"/>
      <c r="L121" s="14"/>
      <c r="M121" s="14"/>
      <c r="N121" s="14"/>
      <c r="O121" s="14"/>
      <c r="P121" s="14"/>
      <c r="Q121" s="14"/>
      <c r="R121" s="14"/>
      <c r="S121" s="14"/>
      <c r="T121" s="14"/>
      <c r="U121" s="14"/>
      <c r="V121" s="14"/>
      <c r="W121" s="14"/>
      <c r="X121" s="14"/>
      <c r="Y121" s="14"/>
      <c r="Z121" s="14"/>
      <c r="AA121" s="14"/>
      <c r="AB121" s="14"/>
      <c r="AC121" s="14"/>
      <c r="AD121" s="14"/>
      <c r="AE121" s="14"/>
      <c r="AF121" s="14"/>
      <c r="AG121" s="14"/>
      <c r="AH121" s="14"/>
      <c r="AI121" s="14"/>
      <c r="AJ121" s="14"/>
      <c r="AK121" s="14"/>
      <c r="AL121" s="14"/>
      <c r="AM121" s="14"/>
      <c r="AN121" s="14"/>
      <c r="AO121" s="14"/>
      <c r="AP121" s="14"/>
      <c r="AQ121" s="14"/>
      <c r="AR121" s="14"/>
      <c r="AS121" s="14"/>
      <c r="AT121" s="14"/>
      <c r="AU121" s="14"/>
      <c r="AV121" s="14"/>
      <c r="AW121" s="14"/>
      <c r="AX121" s="14"/>
      <c r="AY121" s="14"/>
      <c r="AZ121" s="14"/>
      <c r="BA121" s="15">
        <f>SUM(C121:AZ121)</f>
        <v>0</v>
      </c>
      <c r="BB121" s="13">
        <f>BA121*B121</f>
        <v>0</v>
      </c>
    </row>
    <row r="122" spans="1:54" ht="14.1" customHeight="1" x14ac:dyDescent="0.25">
      <c r="A122" s="12" t="s">
        <v>119</v>
      </c>
      <c r="B122" s="13">
        <v>149</v>
      </c>
      <c r="C122" s="14"/>
      <c r="D122" s="14"/>
      <c r="E122" s="14"/>
      <c r="F122" s="14"/>
      <c r="G122" s="14"/>
      <c r="H122" s="14"/>
      <c r="I122" s="14"/>
      <c r="J122" s="14"/>
      <c r="K122" s="14"/>
      <c r="L122" s="14"/>
      <c r="M122" s="14"/>
      <c r="N122" s="14"/>
      <c r="O122" s="14"/>
      <c r="P122" s="14"/>
      <c r="Q122" s="14"/>
      <c r="R122" s="14"/>
      <c r="S122" s="14"/>
      <c r="T122" s="14"/>
      <c r="U122" s="14"/>
      <c r="V122" s="14"/>
      <c r="W122" s="14"/>
      <c r="X122" s="14"/>
      <c r="Y122" s="14"/>
      <c r="Z122" s="14"/>
      <c r="AA122" s="14"/>
      <c r="AB122" s="14"/>
      <c r="AC122" s="14"/>
      <c r="AD122" s="14"/>
      <c r="AE122" s="14"/>
      <c r="AF122" s="14"/>
      <c r="AG122" s="14"/>
      <c r="AH122" s="14"/>
      <c r="AI122" s="14"/>
      <c r="AJ122" s="14"/>
      <c r="AK122" s="14"/>
      <c r="AL122" s="14"/>
      <c r="AM122" s="14"/>
      <c r="AN122" s="14"/>
      <c r="AO122" s="14"/>
      <c r="AP122" s="14"/>
      <c r="AQ122" s="14"/>
      <c r="AR122" s="14"/>
      <c r="AS122" s="14"/>
      <c r="AT122" s="14"/>
      <c r="AU122" s="14"/>
      <c r="AV122" s="14"/>
      <c r="AW122" s="14"/>
      <c r="AX122" s="14"/>
      <c r="AY122" s="14"/>
      <c r="AZ122" s="14"/>
      <c r="BA122" s="15">
        <f>SUM(C122:AZ122)</f>
        <v>0</v>
      </c>
      <c r="BB122" s="13">
        <f>BA122*B122</f>
        <v>0</v>
      </c>
    </row>
    <row r="123" spans="1:54" ht="14.1" customHeight="1" x14ac:dyDescent="0.25">
      <c r="A123" s="12" t="s">
        <v>120</v>
      </c>
      <c r="B123" s="13">
        <v>149</v>
      </c>
      <c r="C123" s="14"/>
      <c r="D123" s="14"/>
      <c r="E123" s="14"/>
      <c r="F123" s="14"/>
      <c r="G123" s="14"/>
      <c r="H123" s="14"/>
      <c r="I123" s="14"/>
      <c r="J123" s="14"/>
      <c r="K123" s="14"/>
      <c r="L123" s="14"/>
      <c r="M123" s="14"/>
      <c r="N123" s="14"/>
      <c r="O123" s="14"/>
      <c r="P123" s="14"/>
      <c r="Q123" s="14"/>
      <c r="R123" s="14"/>
      <c r="S123" s="14"/>
      <c r="T123" s="14"/>
      <c r="U123" s="14"/>
      <c r="V123" s="14"/>
      <c r="W123" s="14"/>
      <c r="X123" s="14"/>
      <c r="Y123" s="14"/>
      <c r="Z123" s="14"/>
      <c r="AA123" s="14"/>
      <c r="AB123" s="14"/>
      <c r="AC123" s="14"/>
      <c r="AD123" s="14"/>
      <c r="AE123" s="14"/>
      <c r="AF123" s="14"/>
      <c r="AG123" s="14"/>
      <c r="AH123" s="14"/>
      <c r="AI123" s="14"/>
      <c r="AJ123" s="14"/>
      <c r="AK123" s="14"/>
      <c r="AL123" s="14"/>
      <c r="AM123" s="14"/>
      <c r="AN123" s="14"/>
      <c r="AO123" s="14"/>
      <c r="AP123" s="14"/>
      <c r="AQ123" s="14"/>
      <c r="AR123" s="14"/>
      <c r="AS123" s="14"/>
      <c r="AT123" s="14"/>
      <c r="AU123" s="14"/>
      <c r="AV123" s="14"/>
      <c r="AW123" s="14"/>
      <c r="AX123" s="14"/>
      <c r="AY123" s="14"/>
      <c r="AZ123" s="14"/>
      <c r="BA123" s="15">
        <f>SUM(C123:AZ123)</f>
        <v>0</v>
      </c>
      <c r="BB123" s="13">
        <f>BA123*B123</f>
        <v>0</v>
      </c>
    </row>
    <row r="124" spans="1:54" ht="14.1" customHeight="1" x14ac:dyDescent="0.25">
      <c r="A124" s="12" t="s">
        <v>121</v>
      </c>
      <c r="B124" s="13">
        <v>164</v>
      </c>
      <c r="C124" s="14"/>
      <c r="D124" s="14"/>
      <c r="E124" s="14"/>
      <c r="F124" s="14"/>
      <c r="G124" s="14"/>
      <c r="H124" s="14"/>
      <c r="I124" s="14"/>
      <c r="J124" s="14"/>
      <c r="K124" s="14"/>
      <c r="L124" s="14"/>
      <c r="M124" s="14"/>
      <c r="N124" s="14"/>
      <c r="O124" s="14"/>
      <c r="P124" s="14"/>
      <c r="Q124" s="14"/>
      <c r="R124" s="14"/>
      <c r="S124" s="14"/>
      <c r="T124" s="14"/>
      <c r="U124" s="14"/>
      <c r="V124" s="14"/>
      <c r="W124" s="14"/>
      <c r="X124" s="14"/>
      <c r="Y124" s="14"/>
      <c r="Z124" s="14"/>
      <c r="AA124" s="14"/>
      <c r="AB124" s="14"/>
      <c r="AC124" s="14"/>
      <c r="AD124" s="14"/>
      <c r="AE124" s="14"/>
      <c r="AF124" s="14"/>
      <c r="AG124" s="14"/>
      <c r="AH124" s="14"/>
      <c r="AI124" s="14"/>
      <c r="AJ124" s="14"/>
      <c r="AK124" s="14"/>
      <c r="AL124" s="14"/>
      <c r="AM124" s="14"/>
      <c r="AN124" s="14"/>
      <c r="AO124" s="14"/>
      <c r="AP124" s="14"/>
      <c r="AQ124" s="14"/>
      <c r="AR124" s="14"/>
      <c r="AS124" s="14"/>
      <c r="AT124" s="14"/>
      <c r="AU124" s="14"/>
      <c r="AV124" s="14"/>
      <c r="AW124" s="14"/>
      <c r="AX124" s="14"/>
      <c r="AY124" s="14"/>
      <c r="AZ124" s="14"/>
      <c r="BA124" s="15">
        <f>SUM(C124:AZ124)</f>
        <v>0</v>
      </c>
      <c r="BB124" s="13">
        <f>BA124*B124</f>
        <v>0</v>
      </c>
    </row>
    <row r="125" spans="1:54" ht="14.1" customHeight="1" x14ac:dyDescent="0.25">
      <c r="A125" s="12" t="s">
        <v>122</v>
      </c>
      <c r="B125" s="13">
        <v>164</v>
      </c>
      <c r="C125" s="14"/>
      <c r="D125" s="14"/>
      <c r="E125" s="14"/>
      <c r="F125" s="14"/>
      <c r="G125" s="14"/>
      <c r="H125" s="14"/>
      <c r="I125" s="14"/>
      <c r="J125" s="14"/>
      <c r="K125" s="14"/>
      <c r="L125" s="14"/>
      <c r="M125" s="14"/>
      <c r="N125" s="14"/>
      <c r="O125" s="14"/>
      <c r="P125" s="14"/>
      <c r="Q125" s="14"/>
      <c r="R125" s="14"/>
      <c r="S125" s="14"/>
      <c r="T125" s="14"/>
      <c r="U125" s="14"/>
      <c r="V125" s="14"/>
      <c r="W125" s="14"/>
      <c r="X125" s="14"/>
      <c r="Y125" s="14"/>
      <c r="Z125" s="14"/>
      <c r="AA125" s="14"/>
      <c r="AB125" s="14"/>
      <c r="AC125" s="14"/>
      <c r="AD125" s="14"/>
      <c r="AE125" s="14"/>
      <c r="AF125" s="14"/>
      <c r="AG125" s="14"/>
      <c r="AH125" s="14"/>
      <c r="AI125" s="14"/>
      <c r="AJ125" s="14"/>
      <c r="AK125" s="14"/>
      <c r="AL125" s="14"/>
      <c r="AM125" s="14"/>
      <c r="AN125" s="14"/>
      <c r="AO125" s="14"/>
      <c r="AP125" s="14"/>
      <c r="AQ125" s="14"/>
      <c r="AR125" s="14"/>
      <c r="AS125" s="14"/>
      <c r="AT125" s="14"/>
      <c r="AU125" s="14"/>
      <c r="AV125" s="14"/>
      <c r="AW125" s="14"/>
      <c r="AX125" s="14"/>
      <c r="AY125" s="14"/>
      <c r="AZ125" s="14"/>
      <c r="BA125" s="15">
        <f>SUM(C125:AZ125)</f>
        <v>0</v>
      </c>
      <c r="BB125" s="13">
        <f>BA125*B125</f>
        <v>0</v>
      </c>
    </row>
    <row r="126" spans="1:54" ht="14.1" customHeight="1" x14ac:dyDescent="0.25">
      <c r="A126" s="12" t="s">
        <v>123</v>
      </c>
      <c r="B126" s="13">
        <v>164</v>
      </c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15">
        <f>SUM(C126:AZ126)</f>
        <v>0</v>
      </c>
      <c r="BB126" s="13">
        <f>BA126*B126</f>
        <v>0</v>
      </c>
    </row>
    <row r="127" spans="1:54" ht="14.1" customHeight="1" x14ac:dyDescent="0.25">
      <c r="A127" s="12" t="s">
        <v>124</v>
      </c>
      <c r="B127" s="13">
        <v>149</v>
      </c>
      <c r="C127" s="14"/>
      <c r="D127" s="14"/>
      <c r="E127" s="14"/>
      <c r="F127" s="14"/>
      <c r="G127" s="14"/>
      <c r="H127" s="14"/>
      <c r="I127" s="14"/>
      <c r="J127" s="14"/>
      <c r="K127" s="14"/>
      <c r="L127" s="14"/>
      <c r="M127" s="14"/>
      <c r="N127" s="14"/>
      <c r="O127" s="14"/>
      <c r="P127" s="14"/>
      <c r="Q127" s="14"/>
      <c r="R127" s="14"/>
      <c r="S127" s="14"/>
      <c r="T127" s="14"/>
      <c r="U127" s="14"/>
      <c r="V127" s="14"/>
      <c r="W127" s="14"/>
      <c r="X127" s="14"/>
      <c r="Y127" s="14"/>
      <c r="Z127" s="14"/>
      <c r="AA127" s="14"/>
      <c r="AB127" s="14"/>
      <c r="AC127" s="14"/>
      <c r="AD127" s="14"/>
      <c r="AE127" s="14"/>
      <c r="AF127" s="14"/>
      <c r="AG127" s="14"/>
      <c r="AH127" s="14"/>
      <c r="AI127" s="14"/>
      <c r="AJ127" s="14"/>
      <c r="AK127" s="14"/>
      <c r="AL127" s="14"/>
      <c r="AM127" s="14"/>
      <c r="AN127" s="14"/>
      <c r="AO127" s="14"/>
      <c r="AP127" s="14"/>
      <c r="AQ127" s="14"/>
      <c r="AR127" s="14"/>
      <c r="AS127" s="14"/>
      <c r="AT127" s="14"/>
      <c r="AU127" s="14"/>
      <c r="AV127" s="14"/>
      <c r="AW127" s="14"/>
      <c r="AX127" s="14"/>
      <c r="AY127" s="14"/>
      <c r="AZ127" s="14"/>
      <c r="BA127" s="15">
        <f>SUM(C127:AZ127)</f>
        <v>0</v>
      </c>
      <c r="BB127" s="13">
        <f>BA127*B127</f>
        <v>0</v>
      </c>
    </row>
    <row r="128" spans="1:54" ht="14.1" customHeight="1" x14ac:dyDescent="0.25">
      <c r="A128" s="12" t="s">
        <v>125</v>
      </c>
      <c r="B128" s="13">
        <v>194</v>
      </c>
      <c r="C128" s="14"/>
      <c r="D128" s="14"/>
      <c r="E128" s="14"/>
      <c r="F128" s="14"/>
      <c r="G128" s="14"/>
      <c r="H128" s="14"/>
      <c r="I128" s="14"/>
      <c r="J128" s="14"/>
      <c r="K128" s="14"/>
      <c r="L128" s="14"/>
      <c r="M128" s="14"/>
      <c r="N128" s="14"/>
      <c r="O128" s="14"/>
      <c r="P128" s="14"/>
      <c r="Q128" s="14"/>
      <c r="R128" s="14"/>
      <c r="S128" s="14"/>
      <c r="T128" s="14"/>
      <c r="U128" s="14"/>
      <c r="V128" s="14"/>
      <c r="W128" s="14"/>
      <c r="X128" s="14"/>
      <c r="Y128" s="14"/>
      <c r="Z128" s="14"/>
      <c r="AA128" s="14"/>
      <c r="AB128" s="14"/>
      <c r="AC128" s="14"/>
      <c r="AD128" s="14"/>
      <c r="AE128" s="14"/>
      <c r="AF128" s="14"/>
      <c r="AG128" s="14"/>
      <c r="AH128" s="14"/>
      <c r="AI128" s="14"/>
      <c r="AJ128" s="14"/>
      <c r="AK128" s="14"/>
      <c r="AL128" s="14"/>
      <c r="AM128" s="14"/>
      <c r="AN128" s="14"/>
      <c r="AO128" s="14"/>
      <c r="AP128" s="14"/>
      <c r="AQ128" s="14"/>
      <c r="AR128" s="14"/>
      <c r="AS128" s="14"/>
      <c r="AT128" s="14"/>
      <c r="AU128" s="14"/>
      <c r="AV128" s="14"/>
      <c r="AW128" s="14"/>
      <c r="AX128" s="14"/>
      <c r="AY128" s="14"/>
      <c r="AZ128" s="14"/>
      <c r="BA128" s="15">
        <f>SUM(C128:AZ128)</f>
        <v>0</v>
      </c>
      <c r="BB128" s="13">
        <f>BA128*B128</f>
        <v>0</v>
      </c>
    </row>
    <row r="129" spans="1:54" ht="14.1" customHeight="1" x14ac:dyDescent="0.25">
      <c r="A129" s="12" t="s">
        <v>126</v>
      </c>
      <c r="B129" s="13">
        <v>164</v>
      </c>
      <c r="C129" s="14"/>
      <c r="D129" s="14"/>
      <c r="E129" s="14"/>
      <c r="F129" s="14"/>
      <c r="G129" s="14"/>
      <c r="H129" s="14"/>
      <c r="I129" s="14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4"/>
      <c r="U129" s="14"/>
      <c r="V129" s="14"/>
      <c r="W129" s="14"/>
      <c r="X129" s="14"/>
      <c r="Y129" s="14"/>
      <c r="Z129" s="14"/>
      <c r="AA129" s="14"/>
      <c r="AB129" s="14"/>
      <c r="AC129" s="14"/>
      <c r="AD129" s="14"/>
      <c r="AE129" s="14"/>
      <c r="AF129" s="14"/>
      <c r="AG129" s="14"/>
      <c r="AH129" s="14"/>
      <c r="AI129" s="14"/>
      <c r="AJ129" s="14"/>
      <c r="AK129" s="14"/>
      <c r="AL129" s="14"/>
      <c r="AM129" s="14"/>
      <c r="AN129" s="14"/>
      <c r="AO129" s="14"/>
      <c r="AP129" s="14"/>
      <c r="AQ129" s="14"/>
      <c r="AR129" s="14"/>
      <c r="AS129" s="14"/>
      <c r="AT129" s="14"/>
      <c r="AU129" s="14"/>
      <c r="AV129" s="14"/>
      <c r="AW129" s="14"/>
      <c r="AX129" s="14"/>
      <c r="AY129" s="14"/>
      <c r="AZ129" s="14"/>
      <c r="BA129" s="15">
        <f>SUM(C129:AZ129)</f>
        <v>0</v>
      </c>
      <c r="BB129" s="13">
        <f>BA129*B129</f>
        <v>0</v>
      </c>
    </row>
    <row r="130" spans="1:54" ht="14.1" customHeight="1" x14ac:dyDescent="0.25">
      <c r="A130" s="12" t="s">
        <v>127</v>
      </c>
      <c r="B130" s="13">
        <v>164</v>
      </c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15">
        <f>SUM(C130:AZ130)</f>
        <v>0</v>
      </c>
      <c r="BB130" s="13">
        <f>BA130*B130</f>
        <v>0</v>
      </c>
    </row>
    <row r="131" spans="1:54" ht="14.1" customHeight="1" x14ac:dyDescent="0.25">
      <c r="A131" s="12" t="s">
        <v>128</v>
      </c>
      <c r="B131" s="13">
        <v>283</v>
      </c>
      <c r="C131" s="14"/>
      <c r="D131" s="14"/>
      <c r="E131" s="14"/>
      <c r="F131" s="14"/>
      <c r="G131" s="14"/>
      <c r="H131" s="14"/>
      <c r="I131" s="14"/>
      <c r="J131" s="14"/>
      <c r="K131" s="14"/>
      <c r="L131" s="14"/>
      <c r="M131" s="14"/>
      <c r="N131" s="14"/>
      <c r="O131" s="14"/>
      <c r="P131" s="14"/>
      <c r="Q131" s="14"/>
      <c r="R131" s="14"/>
      <c r="S131" s="14"/>
      <c r="T131" s="14"/>
      <c r="U131" s="14"/>
      <c r="V131" s="14"/>
      <c r="W131" s="14"/>
      <c r="X131" s="14"/>
      <c r="Y131" s="14"/>
      <c r="Z131" s="14"/>
      <c r="AA131" s="14"/>
      <c r="AB131" s="14"/>
      <c r="AC131" s="14"/>
      <c r="AD131" s="14"/>
      <c r="AE131" s="14"/>
      <c r="AF131" s="14"/>
      <c r="AG131" s="14"/>
      <c r="AH131" s="14"/>
      <c r="AI131" s="14"/>
      <c r="AJ131" s="14"/>
      <c r="AK131" s="14"/>
      <c r="AL131" s="14"/>
      <c r="AM131" s="14"/>
      <c r="AN131" s="14"/>
      <c r="AO131" s="14"/>
      <c r="AP131" s="14"/>
      <c r="AQ131" s="14"/>
      <c r="AR131" s="14"/>
      <c r="AS131" s="14"/>
      <c r="AT131" s="14"/>
      <c r="AU131" s="14"/>
      <c r="AV131" s="14"/>
      <c r="AW131" s="14"/>
      <c r="AX131" s="14"/>
      <c r="AY131" s="14"/>
      <c r="AZ131" s="14"/>
      <c r="BA131" s="15">
        <f>SUM(C131:AZ131)</f>
        <v>0</v>
      </c>
      <c r="BB131" s="13">
        <f>BA131*B131</f>
        <v>0</v>
      </c>
    </row>
    <row r="132" spans="1:54" ht="14.1" customHeight="1" x14ac:dyDescent="0.25">
      <c r="A132" s="12" t="s">
        <v>129</v>
      </c>
      <c r="B132" s="13">
        <v>142</v>
      </c>
      <c r="C132" s="14"/>
      <c r="D132" s="14"/>
      <c r="E132" s="14"/>
      <c r="F132" s="14"/>
      <c r="G132" s="14"/>
      <c r="H132" s="14"/>
      <c r="I132" s="14"/>
      <c r="J132" s="14"/>
      <c r="K132" s="14"/>
      <c r="L132" s="14"/>
      <c r="M132" s="14"/>
      <c r="N132" s="14"/>
      <c r="O132" s="14"/>
      <c r="P132" s="14"/>
      <c r="Q132" s="14"/>
      <c r="R132" s="14"/>
      <c r="S132" s="14"/>
      <c r="T132" s="14"/>
      <c r="U132" s="14"/>
      <c r="V132" s="14"/>
      <c r="W132" s="14"/>
      <c r="X132" s="14"/>
      <c r="Y132" s="14"/>
      <c r="Z132" s="14"/>
      <c r="AA132" s="14"/>
      <c r="AB132" s="14"/>
      <c r="AC132" s="14"/>
      <c r="AD132" s="14"/>
      <c r="AE132" s="14"/>
      <c r="AF132" s="14"/>
      <c r="AG132" s="14"/>
      <c r="AH132" s="14"/>
      <c r="AI132" s="14"/>
      <c r="AJ132" s="14"/>
      <c r="AK132" s="14"/>
      <c r="AL132" s="14"/>
      <c r="AM132" s="14"/>
      <c r="AN132" s="14"/>
      <c r="AO132" s="14"/>
      <c r="AP132" s="14"/>
      <c r="AQ132" s="14"/>
      <c r="AR132" s="14"/>
      <c r="AS132" s="14"/>
      <c r="AT132" s="14"/>
      <c r="AU132" s="14"/>
      <c r="AV132" s="14"/>
      <c r="AW132" s="14"/>
      <c r="AX132" s="14"/>
      <c r="AY132" s="14"/>
      <c r="AZ132" s="14"/>
      <c r="BA132" s="15">
        <f>SUM(C132:AZ132)</f>
        <v>0</v>
      </c>
      <c r="BB132" s="13">
        <f>BA132*B132</f>
        <v>0</v>
      </c>
    </row>
    <row r="133" spans="1:54" ht="14.1" customHeight="1" x14ac:dyDescent="0.25">
      <c r="A133" s="12" t="s">
        <v>130</v>
      </c>
      <c r="B133" s="13">
        <v>194</v>
      </c>
      <c r="C133" s="14"/>
      <c r="D133" s="14"/>
      <c r="E133" s="14"/>
      <c r="F133" s="14"/>
      <c r="G133" s="14"/>
      <c r="H133" s="14"/>
      <c r="I133" s="14"/>
      <c r="J133" s="14"/>
      <c r="K133" s="14"/>
      <c r="L133" s="14"/>
      <c r="M133" s="14"/>
      <c r="N133" s="14"/>
      <c r="O133" s="14"/>
      <c r="P133" s="14"/>
      <c r="Q133" s="14"/>
      <c r="R133" s="14"/>
      <c r="S133" s="14"/>
      <c r="T133" s="14"/>
      <c r="U133" s="14"/>
      <c r="V133" s="14"/>
      <c r="W133" s="14"/>
      <c r="X133" s="14"/>
      <c r="Y133" s="14"/>
      <c r="Z133" s="14"/>
      <c r="AA133" s="14"/>
      <c r="AB133" s="14"/>
      <c r="AC133" s="14"/>
      <c r="AD133" s="14"/>
      <c r="AE133" s="14"/>
      <c r="AF133" s="14"/>
      <c r="AG133" s="14"/>
      <c r="AH133" s="14"/>
      <c r="AI133" s="14"/>
      <c r="AJ133" s="14"/>
      <c r="AK133" s="14"/>
      <c r="AL133" s="14"/>
      <c r="AM133" s="14"/>
      <c r="AN133" s="14"/>
      <c r="AO133" s="14"/>
      <c r="AP133" s="14"/>
      <c r="AQ133" s="14"/>
      <c r="AR133" s="14"/>
      <c r="AS133" s="14"/>
      <c r="AT133" s="14"/>
      <c r="AU133" s="14"/>
      <c r="AV133" s="14"/>
      <c r="AW133" s="14"/>
      <c r="AX133" s="14"/>
      <c r="AY133" s="14"/>
      <c r="AZ133" s="14"/>
      <c r="BA133" s="15">
        <f>SUM(C133:AZ133)</f>
        <v>0</v>
      </c>
      <c r="BB133" s="13">
        <f>BA133*B133</f>
        <v>0</v>
      </c>
    </row>
    <row r="134" spans="1:54" ht="14.1" customHeight="1" x14ac:dyDescent="0.25">
      <c r="A134" s="12" t="s">
        <v>132</v>
      </c>
      <c r="B134" s="13">
        <v>164</v>
      </c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15">
        <f>SUM(C134:AZ134)</f>
        <v>0</v>
      </c>
      <c r="BB134" s="13">
        <f>BA134*B134</f>
        <v>0</v>
      </c>
    </row>
    <row r="135" spans="1:54" ht="14.1" customHeight="1" x14ac:dyDescent="0.25">
      <c r="A135" s="12" t="s">
        <v>135</v>
      </c>
      <c r="B135" s="13">
        <v>230</v>
      </c>
      <c r="C135" s="14"/>
      <c r="D135" s="14"/>
      <c r="E135" s="14"/>
      <c r="F135" s="14"/>
      <c r="G135" s="14"/>
      <c r="H135" s="14"/>
      <c r="I135" s="14"/>
      <c r="J135" s="14"/>
      <c r="K135" s="14"/>
      <c r="L135" s="14"/>
      <c r="M135" s="14"/>
      <c r="N135" s="14"/>
      <c r="O135" s="14"/>
      <c r="P135" s="14"/>
      <c r="Q135" s="14"/>
      <c r="R135" s="14"/>
      <c r="S135" s="14"/>
      <c r="T135" s="14"/>
      <c r="U135" s="14"/>
      <c r="V135" s="14"/>
      <c r="W135" s="14"/>
      <c r="X135" s="14"/>
      <c r="Y135" s="14"/>
      <c r="Z135" s="14"/>
      <c r="AA135" s="14"/>
      <c r="AB135" s="14"/>
      <c r="AC135" s="14"/>
      <c r="AD135" s="14"/>
      <c r="AE135" s="14"/>
      <c r="AF135" s="14"/>
      <c r="AG135" s="14"/>
      <c r="AH135" s="14"/>
      <c r="AI135" s="14"/>
      <c r="AJ135" s="14"/>
      <c r="AK135" s="14"/>
      <c r="AL135" s="14"/>
      <c r="AM135" s="14"/>
      <c r="AN135" s="14"/>
      <c r="AO135" s="14"/>
      <c r="AP135" s="14"/>
      <c r="AQ135" s="14"/>
      <c r="AR135" s="14"/>
      <c r="AS135" s="14"/>
      <c r="AT135" s="14"/>
      <c r="AU135" s="14"/>
      <c r="AV135" s="14"/>
      <c r="AW135" s="14"/>
      <c r="AX135" s="14"/>
      <c r="AY135" s="14"/>
      <c r="AZ135" s="14"/>
      <c r="BA135" s="15">
        <f>SUM(C135:AZ135)</f>
        <v>0</v>
      </c>
      <c r="BB135" s="13">
        <f>BA135*B135</f>
        <v>0</v>
      </c>
    </row>
    <row r="136" spans="1:54" ht="14.1" customHeight="1" x14ac:dyDescent="0.25">
      <c r="A136" s="12" t="s">
        <v>134</v>
      </c>
      <c r="B136" s="13">
        <v>207</v>
      </c>
      <c r="C136" s="14"/>
      <c r="D136" s="14"/>
      <c r="E136" s="14"/>
      <c r="F136" s="14"/>
      <c r="G136" s="14"/>
      <c r="H136" s="14"/>
      <c r="I136" s="14"/>
      <c r="J136" s="14"/>
      <c r="K136" s="14"/>
      <c r="L136" s="14"/>
      <c r="M136" s="14"/>
      <c r="N136" s="14"/>
      <c r="O136" s="14"/>
      <c r="P136" s="14"/>
      <c r="Q136" s="14"/>
      <c r="R136" s="14"/>
      <c r="S136" s="14"/>
      <c r="T136" s="14"/>
      <c r="U136" s="14"/>
      <c r="V136" s="14"/>
      <c r="W136" s="14"/>
      <c r="X136" s="14"/>
      <c r="Y136" s="14"/>
      <c r="Z136" s="14"/>
      <c r="AA136" s="14"/>
      <c r="AB136" s="14"/>
      <c r="AC136" s="14"/>
      <c r="AD136" s="14"/>
      <c r="AE136" s="14"/>
      <c r="AF136" s="14"/>
      <c r="AG136" s="14"/>
      <c r="AH136" s="14"/>
      <c r="AI136" s="14"/>
      <c r="AJ136" s="14"/>
      <c r="AK136" s="14"/>
      <c r="AL136" s="14"/>
      <c r="AM136" s="14"/>
      <c r="AN136" s="14"/>
      <c r="AO136" s="14"/>
      <c r="AP136" s="14"/>
      <c r="AQ136" s="14"/>
      <c r="AR136" s="14"/>
      <c r="AS136" s="14"/>
      <c r="AT136" s="14"/>
      <c r="AU136" s="14"/>
      <c r="AV136" s="14"/>
      <c r="AW136" s="14"/>
      <c r="AX136" s="14"/>
      <c r="AY136" s="14"/>
      <c r="AZ136" s="14"/>
      <c r="BA136" s="15">
        <f>SUM(C136:AZ136)</f>
        <v>0</v>
      </c>
      <c r="BB136" s="13">
        <f>BA136*B136</f>
        <v>0</v>
      </c>
    </row>
    <row r="137" spans="1:54" ht="14.1" customHeight="1" x14ac:dyDescent="0.25">
      <c r="A137" s="12" t="s">
        <v>133</v>
      </c>
      <c r="B137" s="13">
        <v>239</v>
      </c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15">
        <f>SUM(C137:AZ137)</f>
        <v>0</v>
      </c>
      <c r="BB137" s="13">
        <f>BA137*B137</f>
        <v>0</v>
      </c>
    </row>
    <row r="138" spans="1:54" x14ac:dyDescent="0.25">
      <c r="A138" s="10" t="s">
        <v>136</v>
      </c>
      <c r="B138" s="11"/>
      <c r="C138" s="11"/>
      <c r="D138" s="11"/>
      <c r="E138" s="11"/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</row>
    <row r="139" spans="1:54" ht="14.1" customHeight="1" x14ac:dyDescent="0.25">
      <c r="A139" s="12" t="s">
        <v>137</v>
      </c>
      <c r="B139" s="13">
        <v>72</v>
      </c>
      <c r="C139" s="14"/>
      <c r="D139" s="14"/>
      <c r="E139" s="14"/>
      <c r="F139" s="14"/>
      <c r="G139" s="14"/>
      <c r="H139" s="14"/>
      <c r="I139" s="14"/>
      <c r="J139" s="14"/>
      <c r="K139" s="14"/>
      <c r="L139" s="14"/>
      <c r="M139" s="14"/>
      <c r="N139" s="14"/>
      <c r="O139" s="14"/>
      <c r="P139" s="14"/>
      <c r="Q139" s="14"/>
      <c r="R139" s="14"/>
      <c r="S139" s="14"/>
      <c r="T139" s="14"/>
      <c r="U139" s="14"/>
      <c r="V139" s="14"/>
      <c r="W139" s="14"/>
      <c r="X139" s="14"/>
      <c r="Y139" s="14"/>
      <c r="Z139" s="14"/>
      <c r="AA139" s="14"/>
      <c r="AB139" s="14"/>
      <c r="AC139" s="14"/>
      <c r="AD139" s="14"/>
      <c r="AE139" s="14"/>
      <c r="AF139" s="14"/>
      <c r="AG139" s="14"/>
      <c r="AH139" s="14"/>
      <c r="AI139" s="14"/>
      <c r="AJ139" s="14"/>
      <c r="AK139" s="14"/>
      <c r="AL139" s="14"/>
      <c r="AM139" s="14"/>
      <c r="AN139" s="14"/>
      <c r="AO139" s="14"/>
      <c r="AP139" s="14"/>
      <c r="AQ139" s="14"/>
      <c r="AR139" s="14"/>
      <c r="AS139" s="14"/>
      <c r="AT139" s="14"/>
      <c r="AU139" s="14"/>
      <c r="AV139" s="14"/>
      <c r="AW139" s="14"/>
      <c r="AX139" s="14"/>
      <c r="AY139" s="14"/>
      <c r="AZ139" s="14"/>
      <c r="BA139" s="15">
        <f>SUM(C139:AZ139)</f>
        <v>0</v>
      </c>
      <c r="BB139" s="13">
        <f>BA139*B139</f>
        <v>0</v>
      </c>
    </row>
    <row r="140" spans="1:54" ht="14.1" customHeight="1" x14ac:dyDescent="0.25">
      <c r="A140" s="12" t="s">
        <v>138</v>
      </c>
      <c r="B140" s="13">
        <v>63</v>
      </c>
      <c r="C140" s="14"/>
      <c r="D140" s="14"/>
      <c r="E140" s="14"/>
      <c r="F140" s="14"/>
      <c r="G140" s="14"/>
      <c r="H140" s="14"/>
      <c r="I140" s="14"/>
      <c r="J140" s="14"/>
      <c r="K140" s="14"/>
      <c r="L140" s="14"/>
      <c r="M140" s="14"/>
      <c r="N140" s="14"/>
      <c r="O140" s="14"/>
      <c r="P140" s="14"/>
      <c r="Q140" s="14"/>
      <c r="R140" s="14"/>
      <c r="S140" s="14"/>
      <c r="T140" s="14"/>
      <c r="U140" s="14"/>
      <c r="V140" s="14"/>
      <c r="W140" s="14"/>
      <c r="X140" s="14"/>
      <c r="Y140" s="14"/>
      <c r="Z140" s="14"/>
      <c r="AA140" s="14"/>
      <c r="AB140" s="14"/>
      <c r="AC140" s="14"/>
      <c r="AD140" s="14"/>
      <c r="AE140" s="14"/>
      <c r="AF140" s="14"/>
      <c r="AG140" s="14"/>
      <c r="AH140" s="14"/>
      <c r="AI140" s="14"/>
      <c r="AJ140" s="14"/>
      <c r="AK140" s="14"/>
      <c r="AL140" s="14"/>
      <c r="AM140" s="14"/>
      <c r="AN140" s="14"/>
      <c r="AO140" s="14"/>
      <c r="AP140" s="14"/>
      <c r="AQ140" s="14"/>
      <c r="AR140" s="14"/>
      <c r="AS140" s="14"/>
      <c r="AT140" s="14"/>
      <c r="AU140" s="14"/>
      <c r="AV140" s="14"/>
      <c r="AW140" s="14"/>
      <c r="AX140" s="14"/>
      <c r="AY140" s="14"/>
      <c r="AZ140" s="14"/>
      <c r="BA140" s="15">
        <f>SUM(C140:AZ140)</f>
        <v>0</v>
      </c>
      <c r="BB140" s="13">
        <f>BA140*B140</f>
        <v>0</v>
      </c>
    </row>
    <row r="141" spans="1:54" ht="14.1" customHeight="1" x14ac:dyDescent="0.25">
      <c r="A141" s="12" t="s">
        <v>139</v>
      </c>
      <c r="B141" s="13">
        <v>86</v>
      </c>
      <c r="C141" s="14"/>
      <c r="D141" s="14"/>
      <c r="E141" s="14"/>
      <c r="F141" s="14"/>
      <c r="G141" s="14"/>
      <c r="H141" s="14"/>
      <c r="I141" s="14"/>
      <c r="J141" s="14"/>
      <c r="K141" s="14"/>
      <c r="L141" s="14"/>
      <c r="M141" s="14"/>
      <c r="N141" s="14"/>
      <c r="O141" s="14"/>
      <c r="P141" s="14"/>
      <c r="Q141" s="14"/>
      <c r="R141" s="14"/>
      <c r="S141" s="14"/>
      <c r="T141" s="14"/>
      <c r="U141" s="14"/>
      <c r="V141" s="14"/>
      <c r="W141" s="14"/>
      <c r="X141" s="14"/>
      <c r="Y141" s="14"/>
      <c r="Z141" s="14"/>
      <c r="AA141" s="14"/>
      <c r="AB141" s="14"/>
      <c r="AC141" s="14"/>
      <c r="AD141" s="14"/>
      <c r="AE141" s="14"/>
      <c r="AF141" s="14"/>
      <c r="AG141" s="14"/>
      <c r="AH141" s="14"/>
      <c r="AI141" s="14"/>
      <c r="AJ141" s="14"/>
      <c r="AK141" s="14"/>
      <c r="AL141" s="14"/>
      <c r="AM141" s="14"/>
      <c r="AN141" s="14"/>
      <c r="AO141" s="14"/>
      <c r="AP141" s="14"/>
      <c r="AQ141" s="14"/>
      <c r="AR141" s="14"/>
      <c r="AS141" s="14"/>
      <c r="AT141" s="14"/>
      <c r="AU141" s="14"/>
      <c r="AV141" s="14"/>
      <c r="AW141" s="14"/>
      <c r="AX141" s="14"/>
      <c r="AY141" s="14"/>
      <c r="AZ141" s="14"/>
      <c r="BA141" s="15">
        <f>SUM(C141:AZ141)</f>
        <v>0</v>
      </c>
      <c r="BB141" s="13">
        <f>BA141*B141</f>
        <v>0</v>
      </c>
    </row>
    <row r="142" spans="1:54" ht="14.1" customHeight="1" x14ac:dyDescent="0.25">
      <c r="A142" s="12" t="s">
        <v>140</v>
      </c>
      <c r="B142" s="13">
        <v>72</v>
      </c>
      <c r="C142" s="14"/>
      <c r="D142" s="14"/>
      <c r="E142" s="14"/>
      <c r="F142" s="14"/>
      <c r="G142" s="14"/>
      <c r="H142" s="14"/>
      <c r="I142" s="14"/>
      <c r="J142" s="14"/>
      <c r="K142" s="14"/>
      <c r="L142" s="14"/>
      <c r="M142" s="14"/>
      <c r="N142" s="14"/>
      <c r="O142" s="14"/>
      <c r="P142" s="14"/>
      <c r="Q142" s="14"/>
      <c r="R142" s="14"/>
      <c r="S142" s="14"/>
      <c r="T142" s="14"/>
      <c r="U142" s="14"/>
      <c r="V142" s="14"/>
      <c r="W142" s="14"/>
      <c r="X142" s="14"/>
      <c r="Y142" s="14"/>
      <c r="Z142" s="14"/>
      <c r="AA142" s="14"/>
      <c r="AB142" s="14"/>
      <c r="AC142" s="14"/>
      <c r="AD142" s="14"/>
      <c r="AE142" s="14"/>
      <c r="AF142" s="14"/>
      <c r="AG142" s="14"/>
      <c r="AH142" s="14"/>
      <c r="AI142" s="14"/>
      <c r="AJ142" s="14"/>
      <c r="AK142" s="14"/>
      <c r="AL142" s="14"/>
      <c r="AM142" s="14"/>
      <c r="AN142" s="14"/>
      <c r="AO142" s="14"/>
      <c r="AP142" s="14"/>
      <c r="AQ142" s="14"/>
      <c r="AR142" s="14"/>
      <c r="AS142" s="14"/>
      <c r="AT142" s="14"/>
      <c r="AU142" s="14"/>
      <c r="AV142" s="14"/>
      <c r="AW142" s="14"/>
      <c r="AX142" s="14"/>
      <c r="AY142" s="14"/>
      <c r="AZ142" s="14"/>
      <c r="BA142" s="15">
        <f>SUM(C142:AZ142)</f>
        <v>0</v>
      </c>
      <c r="BB142" s="13">
        <f>BA142*B142</f>
        <v>0</v>
      </c>
    </row>
    <row r="143" spans="1:54" ht="14.1" customHeight="1" x14ac:dyDescent="0.25">
      <c r="A143" s="12" t="s">
        <v>141</v>
      </c>
      <c r="B143" s="13">
        <v>72</v>
      </c>
      <c r="C143" s="14"/>
      <c r="D143" s="14"/>
      <c r="E143" s="14"/>
      <c r="F143" s="14"/>
      <c r="G143" s="14"/>
      <c r="H143" s="14"/>
      <c r="I143" s="14"/>
      <c r="J143" s="14"/>
      <c r="K143" s="14"/>
      <c r="L143" s="14"/>
      <c r="M143" s="14"/>
      <c r="N143" s="14"/>
      <c r="O143" s="14"/>
      <c r="P143" s="14"/>
      <c r="Q143" s="14"/>
      <c r="R143" s="14"/>
      <c r="S143" s="14"/>
      <c r="T143" s="14"/>
      <c r="U143" s="14"/>
      <c r="V143" s="14"/>
      <c r="W143" s="14"/>
      <c r="X143" s="14"/>
      <c r="Y143" s="14"/>
      <c r="Z143" s="14"/>
      <c r="AA143" s="14"/>
      <c r="AB143" s="14"/>
      <c r="AC143" s="14"/>
      <c r="AD143" s="14"/>
      <c r="AE143" s="14"/>
      <c r="AF143" s="14"/>
      <c r="AG143" s="14"/>
      <c r="AH143" s="14"/>
      <c r="AI143" s="14"/>
      <c r="AJ143" s="14"/>
      <c r="AK143" s="14"/>
      <c r="AL143" s="14"/>
      <c r="AM143" s="14"/>
      <c r="AN143" s="14"/>
      <c r="AO143" s="14"/>
      <c r="AP143" s="14"/>
      <c r="AQ143" s="14"/>
      <c r="AR143" s="14"/>
      <c r="AS143" s="14"/>
      <c r="AT143" s="14"/>
      <c r="AU143" s="14"/>
      <c r="AV143" s="14"/>
      <c r="AW143" s="14"/>
      <c r="AX143" s="14"/>
      <c r="AY143" s="14"/>
      <c r="AZ143" s="14"/>
      <c r="BA143" s="15">
        <f>SUM(C143:AZ143)</f>
        <v>0</v>
      </c>
      <c r="BB143" s="13">
        <f>BA143*B143</f>
        <v>0</v>
      </c>
    </row>
    <row r="144" spans="1:54" ht="14.1" customHeight="1" x14ac:dyDescent="0.25">
      <c r="A144" s="12" t="s">
        <v>159</v>
      </c>
      <c r="B144" s="13">
        <v>151</v>
      </c>
      <c r="C144" s="14"/>
      <c r="D144" s="14"/>
      <c r="E144" s="14"/>
      <c r="F144" s="14"/>
      <c r="G144" s="14"/>
      <c r="H144" s="14"/>
      <c r="I144" s="14"/>
      <c r="J144" s="14"/>
      <c r="K144" s="14"/>
      <c r="L144" s="14"/>
      <c r="M144" s="14"/>
      <c r="N144" s="14"/>
      <c r="O144" s="14"/>
      <c r="P144" s="14"/>
      <c r="Q144" s="14"/>
      <c r="R144" s="14"/>
      <c r="S144" s="14"/>
      <c r="T144" s="14"/>
      <c r="U144" s="14"/>
      <c r="V144" s="14"/>
      <c r="W144" s="14"/>
      <c r="X144" s="14"/>
      <c r="Y144" s="14"/>
      <c r="Z144" s="14"/>
      <c r="AA144" s="14"/>
      <c r="AB144" s="14"/>
      <c r="AC144" s="14"/>
      <c r="AD144" s="14"/>
      <c r="AE144" s="14"/>
      <c r="AF144" s="14"/>
      <c r="AG144" s="14"/>
      <c r="AH144" s="14"/>
      <c r="AI144" s="14"/>
      <c r="AJ144" s="14"/>
      <c r="AK144" s="14"/>
      <c r="AL144" s="14"/>
      <c r="AM144" s="14"/>
      <c r="AN144" s="14"/>
      <c r="AO144" s="14"/>
      <c r="AP144" s="14"/>
      <c r="AQ144" s="14"/>
      <c r="AR144" s="14"/>
      <c r="AS144" s="14"/>
      <c r="AT144" s="14"/>
      <c r="AU144" s="14"/>
      <c r="AV144" s="14"/>
      <c r="AW144" s="14"/>
      <c r="AX144" s="14"/>
      <c r="AY144" s="14"/>
      <c r="AZ144" s="14"/>
      <c r="BA144" s="15">
        <f>SUM(C144:AZ144)</f>
        <v>0</v>
      </c>
      <c r="BB144" s="13">
        <f>BA144*B144</f>
        <v>0</v>
      </c>
    </row>
    <row r="145" spans="1:54" ht="14.1" customHeight="1" x14ac:dyDescent="0.25">
      <c r="A145" s="12" t="s">
        <v>142</v>
      </c>
      <c r="B145" s="13">
        <v>76</v>
      </c>
      <c r="C145" s="14"/>
      <c r="D145" s="14"/>
      <c r="E145" s="14"/>
      <c r="F145" s="14"/>
      <c r="G145" s="14"/>
      <c r="H145" s="14"/>
      <c r="I145" s="14"/>
      <c r="J145" s="14"/>
      <c r="K145" s="14"/>
      <c r="L145" s="14"/>
      <c r="M145" s="14"/>
      <c r="N145" s="14"/>
      <c r="O145" s="14"/>
      <c r="P145" s="14"/>
      <c r="Q145" s="14"/>
      <c r="R145" s="14"/>
      <c r="S145" s="14"/>
      <c r="T145" s="14"/>
      <c r="U145" s="14"/>
      <c r="V145" s="14"/>
      <c r="W145" s="14"/>
      <c r="X145" s="14"/>
      <c r="Y145" s="14"/>
      <c r="Z145" s="14"/>
      <c r="AA145" s="14"/>
      <c r="AB145" s="14"/>
      <c r="AC145" s="14"/>
      <c r="AD145" s="14"/>
      <c r="AE145" s="14"/>
      <c r="AF145" s="14"/>
      <c r="AG145" s="14"/>
      <c r="AH145" s="14"/>
      <c r="AI145" s="14"/>
      <c r="AJ145" s="14"/>
      <c r="AK145" s="14"/>
      <c r="AL145" s="14"/>
      <c r="AM145" s="14"/>
      <c r="AN145" s="14"/>
      <c r="AO145" s="14"/>
      <c r="AP145" s="14"/>
      <c r="AQ145" s="14"/>
      <c r="AR145" s="14"/>
      <c r="AS145" s="14"/>
      <c r="AT145" s="14"/>
      <c r="AU145" s="14"/>
      <c r="AV145" s="14"/>
      <c r="AW145" s="14"/>
      <c r="AX145" s="14"/>
      <c r="AY145" s="14"/>
      <c r="AZ145" s="14"/>
      <c r="BA145" s="15">
        <f>SUM(C145:AZ145)</f>
        <v>0</v>
      </c>
      <c r="BB145" s="13">
        <f>BA145*B145</f>
        <v>0</v>
      </c>
    </row>
    <row r="146" spans="1:54" ht="14.1" customHeight="1" x14ac:dyDescent="0.25">
      <c r="A146" s="12" t="s">
        <v>143</v>
      </c>
      <c r="B146" s="13">
        <v>72</v>
      </c>
      <c r="C146" s="14"/>
      <c r="D146" s="14"/>
      <c r="E146" s="14"/>
      <c r="F146" s="14"/>
      <c r="G146" s="14"/>
      <c r="H146" s="14"/>
      <c r="I146" s="14"/>
      <c r="J146" s="14"/>
      <c r="K146" s="14"/>
      <c r="L146" s="14"/>
      <c r="M146" s="14"/>
      <c r="N146" s="14"/>
      <c r="O146" s="14"/>
      <c r="P146" s="14"/>
      <c r="Q146" s="14"/>
      <c r="R146" s="14"/>
      <c r="S146" s="14"/>
      <c r="T146" s="14"/>
      <c r="U146" s="14"/>
      <c r="V146" s="14"/>
      <c r="W146" s="14"/>
      <c r="X146" s="14"/>
      <c r="Y146" s="14"/>
      <c r="Z146" s="14"/>
      <c r="AA146" s="14"/>
      <c r="AB146" s="14"/>
      <c r="AC146" s="14"/>
      <c r="AD146" s="14"/>
      <c r="AE146" s="14"/>
      <c r="AF146" s="14"/>
      <c r="AG146" s="14"/>
      <c r="AH146" s="14"/>
      <c r="AI146" s="14"/>
      <c r="AJ146" s="14"/>
      <c r="AK146" s="14"/>
      <c r="AL146" s="14"/>
      <c r="AM146" s="14"/>
      <c r="AN146" s="14"/>
      <c r="AO146" s="14"/>
      <c r="AP146" s="14"/>
      <c r="AQ146" s="14"/>
      <c r="AR146" s="14"/>
      <c r="AS146" s="14"/>
      <c r="AT146" s="14"/>
      <c r="AU146" s="14"/>
      <c r="AV146" s="14"/>
      <c r="AW146" s="14"/>
      <c r="AX146" s="14"/>
      <c r="AY146" s="14"/>
      <c r="AZ146" s="14"/>
      <c r="BA146" s="15">
        <f>SUM(C146:AZ146)</f>
        <v>0</v>
      </c>
      <c r="BB146" s="13">
        <f>BA146*B146</f>
        <v>0</v>
      </c>
    </row>
    <row r="147" spans="1:54" ht="14.1" customHeight="1" x14ac:dyDescent="0.25">
      <c r="A147" s="12" t="s">
        <v>144</v>
      </c>
      <c r="B147" s="13">
        <v>72</v>
      </c>
      <c r="C147" s="14"/>
      <c r="D147" s="14"/>
      <c r="E147" s="14"/>
      <c r="F147" s="14"/>
      <c r="G147" s="14"/>
      <c r="H147" s="14"/>
      <c r="I147" s="14"/>
      <c r="J147" s="14"/>
      <c r="K147" s="14"/>
      <c r="L147" s="14"/>
      <c r="M147" s="14"/>
      <c r="N147" s="14"/>
      <c r="O147" s="14"/>
      <c r="P147" s="14"/>
      <c r="Q147" s="14"/>
      <c r="R147" s="14"/>
      <c r="S147" s="14"/>
      <c r="T147" s="14"/>
      <c r="U147" s="14"/>
      <c r="V147" s="14"/>
      <c r="W147" s="14"/>
      <c r="X147" s="14"/>
      <c r="Y147" s="14"/>
      <c r="Z147" s="14"/>
      <c r="AA147" s="14"/>
      <c r="AB147" s="14"/>
      <c r="AC147" s="14"/>
      <c r="AD147" s="14"/>
      <c r="AE147" s="14"/>
      <c r="AF147" s="14"/>
      <c r="AG147" s="14"/>
      <c r="AH147" s="14"/>
      <c r="AI147" s="14"/>
      <c r="AJ147" s="14"/>
      <c r="AK147" s="14"/>
      <c r="AL147" s="14"/>
      <c r="AM147" s="14"/>
      <c r="AN147" s="14"/>
      <c r="AO147" s="14"/>
      <c r="AP147" s="14"/>
      <c r="AQ147" s="14"/>
      <c r="AR147" s="14"/>
      <c r="AS147" s="14"/>
      <c r="AT147" s="14"/>
      <c r="AU147" s="14"/>
      <c r="AV147" s="14"/>
      <c r="AW147" s="14"/>
      <c r="AX147" s="14"/>
      <c r="AY147" s="14"/>
      <c r="AZ147" s="14"/>
      <c r="BA147" s="15">
        <f>SUM(C147:AZ147)</f>
        <v>0</v>
      </c>
      <c r="BB147" s="13">
        <f>BA147*B147</f>
        <v>0</v>
      </c>
    </row>
    <row r="148" spans="1:54" ht="14.1" customHeight="1" x14ac:dyDescent="0.25">
      <c r="A148" s="12" t="s">
        <v>145</v>
      </c>
      <c r="B148" s="13">
        <v>103</v>
      </c>
      <c r="C148" s="14"/>
      <c r="D148" s="14"/>
      <c r="E148" s="14"/>
      <c r="F148" s="14"/>
      <c r="G148" s="14"/>
      <c r="H148" s="14"/>
      <c r="I148" s="14"/>
      <c r="J148" s="14"/>
      <c r="K148" s="14"/>
      <c r="L148" s="14"/>
      <c r="M148" s="14"/>
      <c r="N148" s="14"/>
      <c r="O148" s="14"/>
      <c r="P148" s="14"/>
      <c r="Q148" s="14"/>
      <c r="R148" s="14"/>
      <c r="S148" s="14"/>
      <c r="T148" s="14"/>
      <c r="U148" s="14"/>
      <c r="V148" s="14"/>
      <c r="W148" s="14"/>
      <c r="X148" s="14"/>
      <c r="Y148" s="14"/>
      <c r="Z148" s="14"/>
      <c r="AA148" s="14"/>
      <c r="AB148" s="14"/>
      <c r="AC148" s="14"/>
      <c r="AD148" s="14"/>
      <c r="AE148" s="14"/>
      <c r="AF148" s="14"/>
      <c r="AG148" s="14"/>
      <c r="AH148" s="14"/>
      <c r="AI148" s="14"/>
      <c r="AJ148" s="14"/>
      <c r="AK148" s="14"/>
      <c r="AL148" s="14"/>
      <c r="AM148" s="14"/>
      <c r="AN148" s="14"/>
      <c r="AO148" s="14"/>
      <c r="AP148" s="14"/>
      <c r="AQ148" s="14"/>
      <c r="AR148" s="14"/>
      <c r="AS148" s="14"/>
      <c r="AT148" s="14"/>
      <c r="AU148" s="14"/>
      <c r="AV148" s="14"/>
      <c r="AW148" s="14"/>
      <c r="AX148" s="14"/>
      <c r="AY148" s="14"/>
      <c r="AZ148" s="14"/>
      <c r="BA148" s="15">
        <f>SUM(C148:AZ148)</f>
        <v>0</v>
      </c>
      <c r="BB148" s="13">
        <f>BA148*B148</f>
        <v>0</v>
      </c>
    </row>
    <row r="149" spans="1:54" ht="14.1" customHeight="1" x14ac:dyDescent="0.25">
      <c r="A149" s="12" t="s">
        <v>146</v>
      </c>
      <c r="B149" s="13">
        <v>86</v>
      </c>
      <c r="C149" s="14"/>
      <c r="D149" s="14"/>
      <c r="E149" s="14"/>
      <c r="F149" s="14"/>
      <c r="G149" s="14"/>
      <c r="H149" s="14"/>
      <c r="I149" s="14"/>
      <c r="J149" s="14"/>
      <c r="K149" s="14"/>
      <c r="L149" s="14"/>
      <c r="M149" s="14"/>
      <c r="N149" s="14"/>
      <c r="O149" s="14"/>
      <c r="P149" s="14"/>
      <c r="Q149" s="14"/>
      <c r="R149" s="14"/>
      <c r="S149" s="14"/>
      <c r="T149" s="14"/>
      <c r="U149" s="14"/>
      <c r="V149" s="14"/>
      <c r="W149" s="14"/>
      <c r="X149" s="14"/>
      <c r="Y149" s="14"/>
      <c r="Z149" s="14"/>
      <c r="AA149" s="14"/>
      <c r="AB149" s="14"/>
      <c r="AC149" s="14"/>
      <c r="AD149" s="14"/>
      <c r="AE149" s="14"/>
      <c r="AF149" s="14"/>
      <c r="AG149" s="14"/>
      <c r="AH149" s="14"/>
      <c r="AI149" s="14"/>
      <c r="AJ149" s="14"/>
      <c r="AK149" s="14"/>
      <c r="AL149" s="14"/>
      <c r="AM149" s="14"/>
      <c r="AN149" s="14"/>
      <c r="AO149" s="14"/>
      <c r="AP149" s="14"/>
      <c r="AQ149" s="14"/>
      <c r="AR149" s="14"/>
      <c r="AS149" s="14"/>
      <c r="AT149" s="14"/>
      <c r="AU149" s="14"/>
      <c r="AV149" s="14"/>
      <c r="AW149" s="14"/>
      <c r="AX149" s="14"/>
      <c r="AY149" s="14"/>
      <c r="AZ149" s="14"/>
      <c r="BA149" s="15">
        <f>SUM(C149:AZ149)</f>
        <v>0</v>
      </c>
      <c r="BB149" s="13">
        <f>BA149*B149</f>
        <v>0</v>
      </c>
    </row>
    <row r="150" spans="1:54" ht="14.1" customHeight="1" x14ac:dyDescent="0.25">
      <c r="A150" s="12" t="s">
        <v>148</v>
      </c>
      <c r="B150" s="13">
        <v>151</v>
      </c>
      <c r="C150" s="14"/>
      <c r="D150" s="14"/>
      <c r="E150" s="14"/>
      <c r="F150" s="14"/>
      <c r="G150" s="14"/>
      <c r="H150" s="14"/>
      <c r="I150" s="14"/>
      <c r="J150" s="14"/>
      <c r="K150" s="14"/>
      <c r="L150" s="14"/>
      <c r="M150" s="14"/>
      <c r="N150" s="14"/>
      <c r="O150" s="14"/>
      <c r="P150" s="14"/>
      <c r="Q150" s="14"/>
      <c r="R150" s="14"/>
      <c r="S150" s="14"/>
      <c r="T150" s="14"/>
      <c r="U150" s="14"/>
      <c r="V150" s="14"/>
      <c r="W150" s="14"/>
      <c r="X150" s="14"/>
      <c r="Y150" s="14"/>
      <c r="Z150" s="14"/>
      <c r="AA150" s="14"/>
      <c r="AB150" s="14"/>
      <c r="AC150" s="14"/>
      <c r="AD150" s="14"/>
      <c r="AE150" s="14"/>
      <c r="AF150" s="14"/>
      <c r="AG150" s="14"/>
      <c r="AH150" s="14"/>
      <c r="AI150" s="14"/>
      <c r="AJ150" s="14"/>
      <c r="AK150" s="14"/>
      <c r="AL150" s="14"/>
      <c r="AM150" s="14"/>
      <c r="AN150" s="14"/>
      <c r="AO150" s="14"/>
      <c r="AP150" s="14"/>
      <c r="AQ150" s="14"/>
      <c r="AR150" s="14"/>
      <c r="AS150" s="14"/>
      <c r="AT150" s="14"/>
      <c r="AU150" s="14"/>
      <c r="AV150" s="14"/>
      <c r="AW150" s="14"/>
      <c r="AX150" s="14"/>
      <c r="AY150" s="14"/>
      <c r="AZ150" s="14"/>
      <c r="BA150" s="15">
        <f>SUM(C150:AZ150)</f>
        <v>0</v>
      </c>
      <c r="BB150" s="13">
        <f>BA150*B150</f>
        <v>0</v>
      </c>
    </row>
    <row r="151" spans="1:54" ht="14.1" customHeight="1" x14ac:dyDescent="0.25">
      <c r="A151" s="12" t="s">
        <v>147</v>
      </c>
      <c r="B151" s="13">
        <v>137</v>
      </c>
      <c r="C151" s="14"/>
      <c r="D151" s="14"/>
      <c r="E151" s="14"/>
      <c r="F151" s="14"/>
      <c r="G151" s="14"/>
      <c r="H151" s="14"/>
      <c r="I151" s="14"/>
      <c r="J151" s="14"/>
      <c r="K151" s="14"/>
      <c r="L151" s="14"/>
      <c r="M151" s="14"/>
      <c r="N151" s="14"/>
      <c r="O151" s="14"/>
      <c r="P151" s="14"/>
      <c r="Q151" s="14"/>
      <c r="R151" s="14"/>
      <c r="S151" s="14"/>
      <c r="T151" s="14"/>
      <c r="U151" s="14"/>
      <c r="V151" s="14"/>
      <c r="W151" s="14"/>
      <c r="X151" s="14"/>
      <c r="Y151" s="14"/>
      <c r="Z151" s="14"/>
      <c r="AA151" s="14"/>
      <c r="AB151" s="14"/>
      <c r="AC151" s="14"/>
      <c r="AD151" s="14"/>
      <c r="AE151" s="14"/>
      <c r="AF151" s="14"/>
      <c r="AG151" s="14"/>
      <c r="AH151" s="14"/>
      <c r="AI151" s="14"/>
      <c r="AJ151" s="14"/>
      <c r="AK151" s="14"/>
      <c r="AL151" s="14"/>
      <c r="AM151" s="14"/>
      <c r="AN151" s="14"/>
      <c r="AO151" s="14"/>
      <c r="AP151" s="14"/>
      <c r="AQ151" s="14"/>
      <c r="AR151" s="14"/>
      <c r="AS151" s="14"/>
      <c r="AT151" s="14"/>
      <c r="AU151" s="14"/>
      <c r="AV151" s="14"/>
      <c r="AW151" s="14"/>
      <c r="AX151" s="14"/>
      <c r="AY151" s="14"/>
      <c r="AZ151" s="14"/>
      <c r="BA151" s="15">
        <f>SUM(C151:AZ151)</f>
        <v>0</v>
      </c>
      <c r="BB151" s="13">
        <f>BA151*B151</f>
        <v>0</v>
      </c>
    </row>
    <row r="152" spans="1:54" ht="14.1" customHeight="1" x14ac:dyDescent="0.25">
      <c r="A152" s="12" t="s">
        <v>155</v>
      </c>
      <c r="B152" s="13">
        <v>137</v>
      </c>
      <c r="C152" s="14"/>
      <c r="D152" s="14"/>
      <c r="E152" s="14"/>
      <c r="F152" s="14"/>
      <c r="G152" s="14"/>
      <c r="H152" s="14"/>
      <c r="I152" s="14"/>
      <c r="J152" s="14"/>
      <c r="K152" s="14"/>
      <c r="L152" s="14"/>
      <c r="M152" s="14"/>
      <c r="N152" s="14"/>
      <c r="O152" s="14"/>
      <c r="P152" s="14"/>
      <c r="Q152" s="14"/>
      <c r="R152" s="14"/>
      <c r="S152" s="14"/>
      <c r="T152" s="14"/>
      <c r="U152" s="14"/>
      <c r="V152" s="14"/>
      <c r="W152" s="14"/>
      <c r="X152" s="14"/>
      <c r="Y152" s="14"/>
      <c r="Z152" s="14"/>
      <c r="AA152" s="14"/>
      <c r="AB152" s="14"/>
      <c r="AC152" s="14"/>
      <c r="AD152" s="14"/>
      <c r="AE152" s="14"/>
      <c r="AF152" s="14"/>
      <c r="AG152" s="14"/>
      <c r="AH152" s="14"/>
      <c r="AI152" s="14"/>
      <c r="AJ152" s="14"/>
      <c r="AK152" s="14"/>
      <c r="AL152" s="14"/>
      <c r="AM152" s="14"/>
      <c r="AN152" s="14"/>
      <c r="AO152" s="14"/>
      <c r="AP152" s="14"/>
      <c r="AQ152" s="14"/>
      <c r="AR152" s="14"/>
      <c r="AS152" s="14"/>
      <c r="AT152" s="14"/>
      <c r="AU152" s="14"/>
      <c r="AV152" s="14"/>
      <c r="AW152" s="14"/>
      <c r="AX152" s="14"/>
      <c r="AY152" s="14"/>
      <c r="AZ152" s="14"/>
      <c r="BA152" s="15">
        <f>SUM(C152:AZ152)</f>
        <v>0</v>
      </c>
      <c r="BB152" s="13">
        <f>BA152*B152</f>
        <v>0</v>
      </c>
    </row>
    <row r="153" spans="1:54" ht="14.1" customHeight="1" x14ac:dyDescent="0.25">
      <c r="A153" s="12" t="s">
        <v>149</v>
      </c>
      <c r="B153" s="13">
        <v>157</v>
      </c>
      <c r="C153" s="14"/>
      <c r="D153" s="14"/>
      <c r="E153" s="14"/>
      <c r="F153" s="14"/>
      <c r="G153" s="14"/>
      <c r="H153" s="14"/>
      <c r="I153" s="14"/>
      <c r="J153" s="14"/>
      <c r="K153" s="14"/>
      <c r="L153" s="14"/>
      <c r="M153" s="14"/>
      <c r="N153" s="14"/>
      <c r="O153" s="14"/>
      <c r="P153" s="14"/>
      <c r="Q153" s="14"/>
      <c r="R153" s="14"/>
      <c r="S153" s="14"/>
      <c r="T153" s="14"/>
      <c r="U153" s="14"/>
      <c r="V153" s="14"/>
      <c r="W153" s="14"/>
      <c r="X153" s="14"/>
      <c r="Y153" s="14"/>
      <c r="Z153" s="14"/>
      <c r="AA153" s="14"/>
      <c r="AB153" s="14"/>
      <c r="AC153" s="14"/>
      <c r="AD153" s="14"/>
      <c r="AE153" s="14"/>
      <c r="AF153" s="14"/>
      <c r="AG153" s="14"/>
      <c r="AH153" s="14"/>
      <c r="AI153" s="14"/>
      <c r="AJ153" s="14"/>
      <c r="AK153" s="14"/>
      <c r="AL153" s="14"/>
      <c r="AM153" s="14"/>
      <c r="AN153" s="14"/>
      <c r="AO153" s="14"/>
      <c r="AP153" s="14"/>
      <c r="AQ153" s="14"/>
      <c r="AR153" s="14"/>
      <c r="AS153" s="14"/>
      <c r="AT153" s="14"/>
      <c r="AU153" s="14"/>
      <c r="AV153" s="14"/>
      <c r="AW153" s="14"/>
      <c r="AX153" s="14"/>
      <c r="AY153" s="14"/>
      <c r="AZ153" s="14"/>
      <c r="BA153" s="15">
        <f>SUM(C153:AZ153)</f>
        <v>0</v>
      </c>
      <c r="BB153" s="13">
        <f>BA153*B153</f>
        <v>0</v>
      </c>
    </row>
    <row r="154" spans="1:54" ht="14.1" customHeight="1" x14ac:dyDescent="0.25">
      <c r="A154" s="12" t="s">
        <v>150</v>
      </c>
      <c r="B154" s="13">
        <v>137</v>
      </c>
      <c r="C154" s="14"/>
      <c r="D154" s="14"/>
      <c r="E154" s="14"/>
      <c r="F154" s="14"/>
      <c r="G154" s="14"/>
      <c r="H154" s="14"/>
      <c r="I154" s="14"/>
      <c r="J154" s="14"/>
      <c r="K154" s="14"/>
      <c r="L154" s="14"/>
      <c r="M154" s="14"/>
      <c r="N154" s="14"/>
      <c r="O154" s="14"/>
      <c r="P154" s="14"/>
      <c r="Q154" s="14"/>
      <c r="R154" s="14"/>
      <c r="S154" s="14"/>
      <c r="T154" s="14"/>
      <c r="U154" s="14"/>
      <c r="V154" s="14"/>
      <c r="W154" s="14"/>
      <c r="X154" s="14"/>
      <c r="Y154" s="14"/>
      <c r="Z154" s="14"/>
      <c r="AA154" s="14"/>
      <c r="AB154" s="14"/>
      <c r="AC154" s="14"/>
      <c r="AD154" s="14"/>
      <c r="AE154" s="14"/>
      <c r="AF154" s="14"/>
      <c r="AG154" s="14"/>
      <c r="AH154" s="14"/>
      <c r="AI154" s="14"/>
      <c r="AJ154" s="14"/>
      <c r="AK154" s="14"/>
      <c r="AL154" s="14"/>
      <c r="AM154" s="14"/>
      <c r="AN154" s="14"/>
      <c r="AO154" s="14"/>
      <c r="AP154" s="14"/>
      <c r="AQ154" s="14"/>
      <c r="AR154" s="14"/>
      <c r="AS154" s="14"/>
      <c r="AT154" s="14"/>
      <c r="AU154" s="14"/>
      <c r="AV154" s="14"/>
      <c r="AW154" s="14"/>
      <c r="AX154" s="14"/>
      <c r="AY154" s="14"/>
      <c r="AZ154" s="14"/>
      <c r="BA154" s="15">
        <f>SUM(C154:AZ154)</f>
        <v>0</v>
      </c>
      <c r="BB154" s="13">
        <f>BA154*B154</f>
        <v>0</v>
      </c>
    </row>
    <row r="155" spans="1:54" ht="14.1" customHeight="1" x14ac:dyDescent="0.25">
      <c r="A155" s="12" t="s">
        <v>151</v>
      </c>
      <c r="B155" s="13">
        <v>69</v>
      </c>
      <c r="C155" s="14"/>
      <c r="D155" s="14"/>
      <c r="E155" s="14"/>
      <c r="F155" s="14"/>
      <c r="G155" s="14"/>
      <c r="H155" s="14"/>
      <c r="I155" s="14"/>
      <c r="J155" s="14"/>
      <c r="K155" s="14"/>
      <c r="L155" s="14"/>
      <c r="M155" s="14"/>
      <c r="N155" s="14"/>
      <c r="O155" s="14"/>
      <c r="P155" s="14"/>
      <c r="Q155" s="14"/>
      <c r="R155" s="14"/>
      <c r="S155" s="14"/>
      <c r="T155" s="14"/>
      <c r="U155" s="14"/>
      <c r="V155" s="14"/>
      <c r="W155" s="14"/>
      <c r="X155" s="14"/>
      <c r="Y155" s="14"/>
      <c r="Z155" s="14"/>
      <c r="AA155" s="14"/>
      <c r="AB155" s="14"/>
      <c r="AC155" s="14"/>
      <c r="AD155" s="14"/>
      <c r="AE155" s="14"/>
      <c r="AF155" s="14"/>
      <c r="AG155" s="14"/>
      <c r="AH155" s="14"/>
      <c r="AI155" s="14"/>
      <c r="AJ155" s="14"/>
      <c r="AK155" s="14"/>
      <c r="AL155" s="14"/>
      <c r="AM155" s="14"/>
      <c r="AN155" s="14"/>
      <c r="AO155" s="14"/>
      <c r="AP155" s="14"/>
      <c r="AQ155" s="14"/>
      <c r="AR155" s="14"/>
      <c r="AS155" s="14"/>
      <c r="AT155" s="14"/>
      <c r="AU155" s="14"/>
      <c r="AV155" s="14"/>
      <c r="AW155" s="14"/>
      <c r="AX155" s="14"/>
      <c r="AY155" s="14"/>
      <c r="AZ155" s="14"/>
      <c r="BA155" s="15">
        <f>SUM(C155:AZ155)</f>
        <v>0</v>
      </c>
      <c r="BB155" s="13">
        <f>BA155*B155</f>
        <v>0</v>
      </c>
    </row>
    <row r="156" spans="1:54" ht="14.1" customHeight="1" x14ac:dyDescent="0.25">
      <c r="A156" s="12" t="s">
        <v>152</v>
      </c>
      <c r="B156" s="13">
        <v>75</v>
      </c>
      <c r="C156" s="14"/>
      <c r="D156" s="14"/>
      <c r="E156" s="14"/>
      <c r="F156" s="14"/>
      <c r="G156" s="14"/>
      <c r="H156" s="14"/>
      <c r="I156" s="14"/>
      <c r="J156" s="14"/>
      <c r="K156" s="14"/>
      <c r="L156" s="14"/>
      <c r="M156" s="14"/>
      <c r="N156" s="14"/>
      <c r="O156" s="14"/>
      <c r="P156" s="14"/>
      <c r="Q156" s="14"/>
      <c r="R156" s="14"/>
      <c r="S156" s="14"/>
      <c r="T156" s="14"/>
      <c r="U156" s="14"/>
      <c r="V156" s="14"/>
      <c r="W156" s="14"/>
      <c r="X156" s="14"/>
      <c r="Y156" s="14"/>
      <c r="Z156" s="14"/>
      <c r="AA156" s="14"/>
      <c r="AB156" s="14"/>
      <c r="AC156" s="14"/>
      <c r="AD156" s="14"/>
      <c r="AE156" s="14"/>
      <c r="AF156" s="14"/>
      <c r="AG156" s="14"/>
      <c r="AH156" s="14"/>
      <c r="AI156" s="14"/>
      <c r="AJ156" s="14"/>
      <c r="AK156" s="14"/>
      <c r="AL156" s="14"/>
      <c r="AM156" s="14"/>
      <c r="AN156" s="14"/>
      <c r="AO156" s="14"/>
      <c r="AP156" s="14"/>
      <c r="AQ156" s="14"/>
      <c r="AR156" s="14"/>
      <c r="AS156" s="14"/>
      <c r="AT156" s="14"/>
      <c r="AU156" s="14"/>
      <c r="AV156" s="14"/>
      <c r="AW156" s="14"/>
      <c r="AX156" s="14"/>
      <c r="AY156" s="14"/>
      <c r="AZ156" s="14"/>
      <c r="BA156" s="15">
        <f>SUM(C156:AZ156)</f>
        <v>0</v>
      </c>
      <c r="BB156" s="13">
        <f>BA156*B156</f>
        <v>0</v>
      </c>
    </row>
    <row r="157" spans="1:54" ht="14.1" customHeight="1" x14ac:dyDescent="0.25">
      <c r="A157" s="12" t="s">
        <v>153</v>
      </c>
      <c r="B157" s="13">
        <v>69</v>
      </c>
      <c r="C157" s="14"/>
      <c r="D157" s="14"/>
      <c r="E157" s="14"/>
      <c r="F157" s="14"/>
      <c r="G157" s="14"/>
      <c r="H157" s="14"/>
      <c r="I157" s="14"/>
      <c r="J157" s="14"/>
      <c r="K157" s="14"/>
      <c r="L157" s="14"/>
      <c r="M157" s="14"/>
      <c r="N157" s="14"/>
      <c r="O157" s="14"/>
      <c r="P157" s="14"/>
      <c r="Q157" s="14"/>
      <c r="R157" s="14"/>
      <c r="S157" s="14"/>
      <c r="T157" s="14"/>
      <c r="U157" s="14"/>
      <c r="V157" s="14"/>
      <c r="W157" s="14"/>
      <c r="X157" s="14"/>
      <c r="Y157" s="14"/>
      <c r="Z157" s="14"/>
      <c r="AA157" s="14"/>
      <c r="AB157" s="14"/>
      <c r="AC157" s="14"/>
      <c r="AD157" s="14"/>
      <c r="AE157" s="14"/>
      <c r="AF157" s="14"/>
      <c r="AG157" s="14"/>
      <c r="AH157" s="14"/>
      <c r="AI157" s="14"/>
      <c r="AJ157" s="14"/>
      <c r="AK157" s="14"/>
      <c r="AL157" s="14"/>
      <c r="AM157" s="14"/>
      <c r="AN157" s="14"/>
      <c r="AO157" s="14"/>
      <c r="AP157" s="14"/>
      <c r="AQ157" s="14"/>
      <c r="AR157" s="14"/>
      <c r="AS157" s="14"/>
      <c r="AT157" s="14"/>
      <c r="AU157" s="14"/>
      <c r="AV157" s="14"/>
      <c r="AW157" s="14"/>
      <c r="AX157" s="14"/>
      <c r="AY157" s="14"/>
      <c r="AZ157" s="14"/>
      <c r="BA157" s="15">
        <f>SUM(C157:AZ157)</f>
        <v>0</v>
      </c>
      <c r="BB157" s="13">
        <f>BA157*B157</f>
        <v>0</v>
      </c>
    </row>
    <row r="158" spans="1:54" ht="14.1" customHeight="1" x14ac:dyDescent="0.25">
      <c r="A158" s="12" t="s">
        <v>154</v>
      </c>
      <c r="B158" s="13">
        <v>75</v>
      </c>
      <c r="C158" s="14"/>
      <c r="D158" s="14"/>
      <c r="E158" s="14"/>
      <c r="F158" s="14"/>
      <c r="G158" s="14"/>
      <c r="H158" s="14"/>
      <c r="I158" s="14"/>
      <c r="J158" s="14"/>
      <c r="K158" s="14"/>
      <c r="L158" s="14"/>
      <c r="M158" s="14"/>
      <c r="N158" s="14"/>
      <c r="O158" s="14"/>
      <c r="P158" s="14"/>
      <c r="Q158" s="14"/>
      <c r="R158" s="14"/>
      <c r="S158" s="14"/>
      <c r="T158" s="14"/>
      <c r="U158" s="14"/>
      <c r="V158" s="14"/>
      <c r="W158" s="14"/>
      <c r="X158" s="14"/>
      <c r="Y158" s="14"/>
      <c r="Z158" s="14"/>
      <c r="AA158" s="14"/>
      <c r="AB158" s="14"/>
      <c r="AC158" s="14"/>
      <c r="AD158" s="14"/>
      <c r="AE158" s="14"/>
      <c r="AF158" s="14"/>
      <c r="AG158" s="14"/>
      <c r="AH158" s="14"/>
      <c r="AI158" s="14"/>
      <c r="AJ158" s="14"/>
      <c r="AK158" s="14"/>
      <c r="AL158" s="14"/>
      <c r="AM158" s="14"/>
      <c r="AN158" s="14"/>
      <c r="AO158" s="14"/>
      <c r="AP158" s="14"/>
      <c r="AQ158" s="14"/>
      <c r="AR158" s="14"/>
      <c r="AS158" s="14"/>
      <c r="AT158" s="14"/>
      <c r="AU158" s="14"/>
      <c r="AV158" s="14"/>
      <c r="AW158" s="14"/>
      <c r="AX158" s="14"/>
      <c r="AY158" s="14"/>
      <c r="AZ158" s="14"/>
      <c r="BA158" s="15">
        <f>SUM(C158:AZ158)</f>
        <v>0</v>
      </c>
      <c r="BB158" s="13">
        <f>BA158*B158</f>
        <v>0</v>
      </c>
    </row>
    <row r="159" spans="1:54" ht="14.1" customHeight="1" x14ac:dyDescent="0.25">
      <c r="A159" s="12" t="s">
        <v>156</v>
      </c>
      <c r="B159" s="13">
        <v>99</v>
      </c>
      <c r="C159" s="14"/>
      <c r="D159" s="14"/>
      <c r="E159" s="14"/>
      <c r="F159" s="14"/>
      <c r="G159" s="14"/>
      <c r="H159" s="14"/>
      <c r="I159" s="14"/>
      <c r="J159" s="14"/>
      <c r="K159" s="14"/>
      <c r="L159" s="14"/>
      <c r="M159" s="14"/>
      <c r="N159" s="14"/>
      <c r="O159" s="14"/>
      <c r="P159" s="14"/>
      <c r="Q159" s="14"/>
      <c r="R159" s="14"/>
      <c r="S159" s="14"/>
      <c r="T159" s="14"/>
      <c r="U159" s="14"/>
      <c r="V159" s="14"/>
      <c r="W159" s="14"/>
      <c r="X159" s="14"/>
      <c r="Y159" s="14"/>
      <c r="Z159" s="14"/>
      <c r="AA159" s="14"/>
      <c r="AB159" s="14"/>
      <c r="AC159" s="14"/>
      <c r="AD159" s="14"/>
      <c r="AE159" s="14"/>
      <c r="AF159" s="14"/>
      <c r="AG159" s="14"/>
      <c r="AH159" s="14"/>
      <c r="AI159" s="14"/>
      <c r="AJ159" s="14"/>
      <c r="AK159" s="14"/>
      <c r="AL159" s="14"/>
      <c r="AM159" s="14"/>
      <c r="AN159" s="14"/>
      <c r="AO159" s="14"/>
      <c r="AP159" s="14"/>
      <c r="AQ159" s="14"/>
      <c r="AR159" s="14"/>
      <c r="AS159" s="14"/>
      <c r="AT159" s="14"/>
      <c r="AU159" s="14"/>
      <c r="AV159" s="14"/>
      <c r="AW159" s="14"/>
      <c r="AX159" s="14"/>
      <c r="AY159" s="14"/>
      <c r="AZ159" s="14"/>
      <c r="BA159" s="15">
        <f>SUM(C159:AZ159)</f>
        <v>0</v>
      </c>
      <c r="BB159" s="13">
        <f>BA159*B159</f>
        <v>0</v>
      </c>
    </row>
    <row r="160" spans="1:54" ht="14.1" customHeight="1" x14ac:dyDescent="0.25">
      <c r="A160" s="12" t="s">
        <v>157</v>
      </c>
      <c r="B160" s="13">
        <v>144</v>
      </c>
      <c r="C160" s="14"/>
      <c r="D160" s="14"/>
      <c r="E160" s="14"/>
      <c r="F160" s="14"/>
      <c r="G160" s="14"/>
      <c r="H160" s="14"/>
      <c r="I160" s="14"/>
      <c r="J160" s="14"/>
      <c r="K160" s="14"/>
      <c r="L160" s="14"/>
      <c r="M160" s="14"/>
      <c r="N160" s="14"/>
      <c r="O160" s="14"/>
      <c r="P160" s="14"/>
      <c r="Q160" s="14"/>
      <c r="R160" s="14"/>
      <c r="S160" s="14"/>
      <c r="T160" s="14"/>
      <c r="U160" s="14"/>
      <c r="V160" s="14"/>
      <c r="W160" s="14"/>
      <c r="X160" s="14"/>
      <c r="Y160" s="14"/>
      <c r="Z160" s="14"/>
      <c r="AA160" s="14"/>
      <c r="AB160" s="14"/>
      <c r="AC160" s="14"/>
      <c r="AD160" s="14"/>
      <c r="AE160" s="14"/>
      <c r="AF160" s="14"/>
      <c r="AG160" s="14"/>
      <c r="AH160" s="14"/>
      <c r="AI160" s="14"/>
      <c r="AJ160" s="14"/>
      <c r="AK160" s="14"/>
      <c r="AL160" s="14"/>
      <c r="AM160" s="14"/>
      <c r="AN160" s="14"/>
      <c r="AO160" s="14"/>
      <c r="AP160" s="14"/>
      <c r="AQ160" s="14"/>
      <c r="AR160" s="14"/>
      <c r="AS160" s="14"/>
      <c r="AT160" s="14"/>
      <c r="AU160" s="14"/>
      <c r="AV160" s="14"/>
      <c r="AW160" s="14"/>
      <c r="AX160" s="14"/>
      <c r="AY160" s="14"/>
      <c r="AZ160" s="14"/>
      <c r="BA160" s="15">
        <f>SUM(C160:AZ160)</f>
        <v>0</v>
      </c>
      <c r="BB160" s="13">
        <f>BA160*B160</f>
        <v>0</v>
      </c>
    </row>
    <row r="161" spans="1:54" ht="14.1" customHeight="1" x14ac:dyDescent="0.25">
      <c r="A161" s="12" t="s">
        <v>158</v>
      </c>
      <c r="B161" s="13">
        <v>152</v>
      </c>
      <c r="C161" s="14"/>
      <c r="D161" s="14"/>
      <c r="E161" s="14"/>
      <c r="F161" s="14"/>
      <c r="G161" s="14"/>
      <c r="H161" s="14"/>
      <c r="I161" s="14"/>
      <c r="J161" s="14"/>
      <c r="K161" s="14"/>
      <c r="L161" s="14"/>
      <c r="M161" s="14"/>
      <c r="N161" s="14"/>
      <c r="O161" s="14"/>
      <c r="P161" s="14"/>
      <c r="Q161" s="14"/>
      <c r="R161" s="14"/>
      <c r="S161" s="14"/>
      <c r="T161" s="14"/>
      <c r="U161" s="14"/>
      <c r="V161" s="14"/>
      <c r="W161" s="14"/>
      <c r="X161" s="14"/>
      <c r="Y161" s="14"/>
      <c r="Z161" s="14"/>
      <c r="AA161" s="14"/>
      <c r="AB161" s="14"/>
      <c r="AC161" s="14"/>
      <c r="AD161" s="14"/>
      <c r="AE161" s="14"/>
      <c r="AF161" s="14"/>
      <c r="AG161" s="14"/>
      <c r="AH161" s="14"/>
      <c r="AI161" s="14"/>
      <c r="AJ161" s="14"/>
      <c r="AK161" s="14"/>
      <c r="AL161" s="14"/>
      <c r="AM161" s="14"/>
      <c r="AN161" s="14"/>
      <c r="AO161" s="14"/>
      <c r="AP161" s="14"/>
      <c r="AQ161" s="14"/>
      <c r="AR161" s="14"/>
      <c r="AS161" s="14"/>
      <c r="AT161" s="14"/>
      <c r="AU161" s="14"/>
      <c r="AV161" s="14"/>
      <c r="AW161" s="14"/>
      <c r="AX161" s="14"/>
      <c r="AY161" s="14"/>
      <c r="AZ161" s="14"/>
      <c r="BA161" s="15">
        <f>SUM(C161:AZ161)</f>
        <v>0</v>
      </c>
      <c r="BB161" s="13">
        <f>BA161*B161</f>
        <v>0</v>
      </c>
    </row>
    <row r="162" spans="1:54" x14ac:dyDescent="0.25">
      <c r="A162" s="10" t="s">
        <v>160</v>
      </c>
      <c r="B162" s="11"/>
      <c r="C162" s="11"/>
      <c r="D162" s="11"/>
      <c r="E162" s="11"/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</row>
    <row r="163" spans="1:54" ht="14.1" customHeight="1" x14ac:dyDescent="0.25">
      <c r="A163" s="12" t="s">
        <v>247</v>
      </c>
      <c r="B163" s="13">
        <v>95</v>
      </c>
      <c r="C163" s="14"/>
      <c r="D163" s="14"/>
      <c r="E163" s="14"/>
      <c r="F163" s="14"/>
      <c r="G163" s="14"/>
      <c r="H163" s="14"/>
      <c r="I163" s="14"/>
      <c r="J163" s="14"/>
      <c r="K163" s="14"/>
      <c r="L163" s="14"/>
      <c r="M163" s="14"/>
      <c r="N163" s="14"/>
      <c r="O163" s="14"/>
      <c r="P163" s="14"/>
      <c r="Q163" s="14"/>
      <c r="R163" s="14"/>
      <c r="S163" s="14"/>
      <c r="T163" s="14"/>
      <c r="U163" s="14"/>
      <c r="V163" s="14"/>
      <c r="W163" s="14"/>
      <c r="X163" s="14"/>
      <c r="Y163" s="14"/>
      <c r="Z163" s="14"/>
      <c r="AA163" s="14"/>
      <c r="AB163" s="14"/>
      <c r="AC163" s="14"/>
      <c r="AD163" s="14"/>
      <c r="AE163" s="14"/>
      <c r="AF163" s="14"/>
      <c r="AG163" s="14"/>
      <c r="AH163" s="14"/>
      <c r="AI163" s="14"/>
      <c r="AJ163" s="14"/>
      <c r="AK163" s="14"/>
      <c r="AL163" s="14"/>
      <c r="AM163" s="14"/>
      <c r="AN163" s="14"/>
      <c r="AO163" s="14"/>
      <c r="AP163" s="14"/>
      <c r="AQ163" s="14"/>
      <c r="AR163" s="14"/>
      <c r="AS163" s="14"/>
      <c r="AT163" s="14"/>
      <c r="AU163" s="14"/>
      <c r="AV163" s="14"/>
      <c r="AW163" s="14"/>
      <c r="AX163" s="14"/>
      <c r="AY163" s="14"/>
      <c r="AZ163" s="14"/>
      <c r="BA163" s="15">
        <f>SUM(C163:AZ163)</f>
        <v>0</v>
      </c>
      <c r="BB163" s="13">
        <f>BA163*B163</f>
        <v>0</v>
      </c>
    </row>
    <row r="164" spans="1:54" ht="14.1" customHeight="1" x14ac:dyDescent="0.25">
      <c r="A164" s="12" t="s">
        <v>162</v>
      </c>
      <c r="B164" s="13">
        <v>46</v>
      </c>
      <c r="C164" s="14"/>
      <c r="D164" s="14"/>
      <c r="E164" s="14"/>
      <c r="F164" s="14"/>
      <c r="G164" s="14"/>
      <c r="H164" s="14"/>
      <c r="I164" s="14"/>
      <c r="J164" s="14"/>
      <c r="K164" s="14"/>
      <c r="L164" s="14"/>
      <c r="M164" s="14"/>
      <c r="N164" s="14"/>
      <c r="O164" s="14"/>
      <c r="P164" s="14"/>
      <c r="Q164" s="14"/>
      <c r="R164" s="14"/>
      <c r="S164" s="14"/>
      <c r="T164" s="14"/>
      <c r="U164" s="14"/>
      <c r="V164" s="14"/>
      <c r="W164" s="14"/>
      <c r="X164" s="14"/>
      <c r="Y164" s="14"/>
      <c r="Z164" s="14"/>
      <c r="AA164" s="14"/>
      <c r="AB164" s="14"/>
      <c r="AC164" s="14"/>
      <c r="AD164" s="14"/>
      <c r="AE164" s="14"/>
      <c r="AF164" s="14"/>
      <c r="AG164" s="14"/>
      <c r="AH164" s="14"/>
      <c r="AI164" s="14"/>
      <c r="AJ164" s="14"/>
      <c r="AK164" s="14"/>
      <c r="AL164" s="14"/>
      <c r="AM164" s="14"/>
      <c r="AN164" s="14"/>
      <c r="AO164" s="14"/>
      <c r="AP164" s="14"/>
      <c r="AQ164" s="14"/>
      <c r="AR164" s="14"/>
      <c r="AS164" s="14"/>
      <c r="AT164" s="14"/>
      <c r="AU164" s="14"/>
      <c r="AV164" s="14"/>
      <c r="AW164" s="14"/>
      <c r="AX164" s="14"/>
      <c r="AY164" s="14"/>
      <c r="AZ164" s="14"/>
      <c r="BA164" s="15">
        <f>SUM(C164:AZ164)</f>
        <v>0</v>
      </c>
      <c r="BB164" s="13">
        <f>BA164*B164</f>
        <v>0</v>
      </c>
    </row>
    <row r="165" spans="1:54" ht="14.1" customHeight="1" x14ac:dyDescent="0.25">
      <c r="A165" s="12" t="s">
        <v>161</v>
      </c>
      <c r="B165" s="13">
        <v>46</v>
      </c>
      <c r="C165" s="14"/>
      <c r="D165" s="14"/>
      <c r="E165" s="14"/>
      <c r="F165" s="14"/>
      <c r="G165" s="14"/>
      <c r="H165" s="14"/>
      <c r="I165" s="14"/>
      <c r="J165" s="14"/>
      <c r="K165" s="14"/>
      <c r="L165" s="14"/>
      <c r="M165" s="14"/>
      <c r="N165" s="14"/>
      <c r="O165" s="14"/>
      <c r="P165" s="14"/>
      <c r="Q165" s="14"/>
      <c r="R165" s="14"/>
      <c r="S165" s="14"/>
      <c r="T165" s="14"/>
      <c r="U165" s="14"/>
      <c r="V165" s="14"/>
      <c r="W165" s="14"/>
      <c r="X165" s="14"/>
      <c r="Y165" s="14"/>
      <c r="Z165" s="14"/>
      <c r="AA165" s="14"/>
      <c r="AB165" s="14"/>
      <c r="AC165" s="14"/>
      <c r="AD165" s="14"/>
      <c r="AE165" s="14"/>
      <c r="AF165" s="14"/>
      <c r="AG165" s="14"/>
      <c r="AH165" s="14"/>
      <c r="AI165" s="14"/>
      <c r="AJ165" s="14"/>
      <c r="AK165" s="14"/>
      <c r="AL165" s="14"/>
      <c r="AM165" s="14"/>
      <c r="AN165" s="14"/>
      <c r="AO165" s="14"/>
      <c r="AP165" s="14"/>
      <c r="AQ165" s="14"/>
      <c r="AR165" s="14"/>
      <c r="AS165" s="14"/>
      <c r="AT165" s="14"/>
      <c r="AU165" s="14"/>
      <c r="AV165" s="14"/>
      <c r="AW165" s="14"/>
      <c r="AX165" s="14"/>
      <c r="AY165" s="14"/>
      <c r="AZ165" s="14"/>
      <c r="BA165" s="15">
        <f>SUM(C165:AZ165)</f>
        <v>0</v>
      </c>
      <c r="BB165" s="13">
        <f>BA165*B165</f>
        <v>0</v>
      </c>
    </row>
    <row r="166" spans="1:54" ht="14.1" customHeight="1" x14ac:dyDescent="0.25">
      <c r="A166" s="12" t="s">
        <v>166</v>
      </c>
      <c r="B166" s="13">
        <v>97</v>
      </c>
      <c r="C166" s="14"/>
      <c r="D166" s="14"/>
      <c r="E166" s="14"/>
      <c r="F166" s="14"/>
      <c r="G166" s="14"/>
      <c r="H166" s="14"/>
      <c r="I166" s="14"/>
      <c r="J166" s="14"/>
      <c r="K166" s="14"/>
      <c r="L166" s="14"/>
      <c r="M166" s="14"/>
      <c r="N166" s="14"/>
      <c r="O166" s="14"/>
      <c r="P166" s="14"/>
      <c r="Q166" s="14"/>
      <c r="R166" s="14"/>
      <c r="S166" s="14"/>
      <c r="T166" s="14"/>
      <c r="U166" s="14"/>
      <c r="V166" s="14"/>
      <c r="W166" s="14"/>
      <c r="X166" s="14"/>
      <c r="Y166" s="14"/>
      <c r="Z166" s="14"/>
      <c r="AA166" s="14"/>
      <c r="AB166" s="14"/>
      <c r="AC166" s="14"/>
      <c r="AD166" s="14"/>
      <c r="AE166" s="14"/>
      <c r="AF166" s="14"/>
      <c r="AG166" s="14"/>
      <c r="AH166" s="14"/>
      <c r="AI166" s="14"/>
      <c r="AJ166" s="14"/>
      <c r="AK166" s="14"/>
      <c r="AL166" s="14"/>
      <c r="AM166" s="14"/>
      <c r="AN166" s="14"/>
      <c r="AO166" s="14"/>
      <c r="AP166" s="14"/>
      <c r="AQ166" s="14"/>
      <c r="AR166" s="14"/>
      <c r="AS166" s="14"/>
      <c r="AT166" s="14"/>
      <c r="AU166" s="14"/>
      <c r="AV166" s="14"/>
      <c r="AW166" s="14"/>
      <c r="AX166" s="14"/>
      <c r="AY166" s="14"/>
      <c r="AZ166" s="14"/>
      <c r="BA166" s="15">
        <f>SUM(C166:AZ166)</f>
        <v>0</v>
      </c>
      <c r="BB166" s="13">
        <f>BA166*B166</f>
        <v>0</v>
      </c>
    </row>
    <row r="167" spans="1:54" ht="14.1" customHeight="1" x14ac:dyDescent="0.25">
      <c r="A167" s="12" t="s">
        <v>167</v>
      </c>
      <c r="B167" s="13">
        <v>77</v>
      </c>
      <c r="C167" s="14"/>
      <c r="D167" s="14"/>
      <c r="E167" s="14"/>
      <c r="F167" s="14"/>
      <c r="G167" s="14"/>
      <c r="H167" s="14"/>
      <c r="I167" s="14"/>
      <c r="J167" s="14"/>
      <c r="K167" s="14"/>
      <c r="L167" s="14"/>
      <c r="M167" s="14"/>
      <c r="N167" s="14"/>
      <c r="O167" s="14"/>
      <c r="P167" s="14"/>
      <c r="Q167" s="14"/>
      <c r="R167" s="14"/>
      <c r="S167" s="14"/>
      <c r="T167" s="14"/>
      <c r="U167" s="14"/>
      <c r="V167" s="14"/>
      <c r="W167" s="14"/>
      <c r="X167" s="14"/>
      <c r="Y167" s="14"/>
      <c r="Z167" s="14"/>
      <c r="AA167" s="14"/>
      <c r="AB167" s="14"/>
      <c r="AC167" s="14"/>
      <c r="AD167" s="14"/>
      <c r="AE167" s="14"/>
      <c r="AF167" s="14"/>
      <c r="AG167" s="14"/>
      <c r="AH167" s="14"/>
      <c r="AI167" s="14"/>
      <c r="AJ167" s="14"/>
      <c r="AK167" s="14"/>
      <c r="AL167" s="14"/>
      <c r="AM167" s="14"/>
      <c r="AN167" s="14"/>
      <c r="AO167" s="14"/>
      <c r="AP167" s="14"/>
      <c r="AQ167" s="14"/>
      <c r="AR167" s="14"/>
      <c r="AS167" s="14"/>
      <c r="AT167" s="14"/>
      <c r="AU167" s="14"/>
      <c r="AV167" s="14"/>
      <c r="AW167" s="14"/>
      <c r="AX167" s="14"/>
      <c r="AY167" s="14"/>
      <c r="AZ167" s="14"/>
      <c r="BA167" s="15">
        <f>SUM(C167:AZ167)</f>
        <v>0</v>
      </c>
      <c r="BB167" s="13">
        <f>BA167*B167</f>
        <v>0</v>
      </c>
    </row>
    <row r="168" spans="1:54" ht="14.1" customHeight="1" x14ac:dyDescent="0.25">
      <c r="A168" s="12" t="s">
        <v>163</v>
      </c>
      <c r="B168" s="13">
        <v>57</v>
      </c>
      <c r="C168" s="14"/>
      <c r="D168" s="14"/>
      <c r="E168" s="14"/>
      <c r="F168" s="14"/>
      <c r="G168" s="14"/>
      <c r="H168" s="14"/>
      <c r="I168" s="14"/>
      <c r="J168" s="14"/>
      <c r="K168" s="14"/>
      <c r="L168" s="14"/>
      <c r="M168" s="14"/>
      <c r="N168" s="14"/>
      <c r="O168" s="14"/>
      <c r="P168" s="14"/>
      <c r="Q168" s="14"/>
      <c r="R168" s="14"/>
      <c r="S168" s="14"/>
      <c r="T168" s="14"/>
      <c r="U168" s="14"/>
      <c r="V168" s="14"/>
      <c r="W168" s="14"/>
      <c r="X168" s="14"/>
      <c r="Y168" s="14"/>
      <c r="Z168" s="14"/>
      <c r="AA168" s="14"/>
      <c r="AB168" s="14"/>
      <c r="AC168" s="14"/>
      <c r="AD168" s="14"/>
      <c r="AE168" s="14"/>
      <c r="AF168" s="14"/>
      <c r="AG168" s="14"/>
      <c r="AH168" s="14"/>
      <c r="AI168" s="14"/>
      <c r="AJ168" s="14"/>
      <c r="AK168" s="14"/>
      <c r="AL168" s="14"/>
      <c r="AM168" s="14"/>
      <c r="AN168" s="14"/>
      <c r="AO168" s="14"/>
      <c r="AP168" s="14"/>
      <c r="AQ168" s="14"/>
      <c r="AR168" s="14"/>
      <c r="AS168" s="14"/>
      <c r="AT168" s="14"/>
      <c r="AU168" s="14"/>
      <c r="AV168" s="14"/>
      <c r="AW168" s="14"/>
      <c r="AX168" s="14"/>
      <c r="AY168" s="14"/>
      <c r="AZ168" s="14"/>
      <c r="BA168" s="15">
        <f>SUM(C168:AZ168)</f>
        <v>0</v>
      </c>
      <c r="BB168" s="13">
        <f>BA168*B168</f>
        <v>0</v>
      </c>
    </row>
    <row r="169" spans="1:54" ht="14.1" customHeight="1" x14ac:dyDescent="0.25">
      <c r="A169" s="12" t="s">
        <v>165</v>
      </c>
      <c r="B169" s="13">
        <v>57</v>
      </c>
      <c r="C169" s="14"/>
      <c r="D169" s="14"/>
      <c r="E169" s="14"/>
      <c r="F169" s="14"/>
      <c r="G169" s="14"/>
      <c r="H169" s="14"/>
      <c r="I169" s="14"/>
      <c r="J169" s="14"/>
      <c r="K169" s="14"/>
      <c r="L169" s="14"/>
      <c r="M169" s="14"/>
      <c r="N169" s="14"/>
      <c r="O169" s="14"/>
      <c r="P169" s="14"/>
      <c r="Q169" s="14"/>
      <c r="R169" s="14"/>
      <c r="S169" s="14"/>
      <c r="T169" s="14"/>
      <c r="U169" s="14"/>
      <c r="V169" s="14"/>
      <c r="W169" s="14"/>
      <c r="X169" s="14"/>
      <c r="Y169" s="14"/>
      <c r="Z169" s="14"/>
      <c r="AA169" s="14"/>
      <c r="AB169" s="14"/>
      <c r="AC169" s="14"/>
      <c r="AD169" s="14"/>
      <c r="AE169" s="14"/>
      <c r="AF169" s="14"/>
      <c r="AG169" s="14"/>
      <c r="AH169" s="14"/>
      <c r="AI169" s="14"/>
      <c r="AJ169" s="14"/>
      <c r="AK169" s="14"/>
      <c r="AL169" s="14"/>
      <c r="AM169" s="14"/>
      <c r="AN169" s="14"/>
      <c r="AO169" s="14"/>
      <c r="AP169" s="14"/>
      <c r="AQ169" s="14"/>
      <c r="AR169" s="14"/>
      <c r="AS169" s="14"/>
      <c r="AT169" s="14"/>
      <c r="AU169" s="14"/>
      <c r="AV169" s="14"/>
      <c r="AW169" s="14"/>
      <c r="AX169" s="14"/>
      <c r="AY169" s="14"/>
      <c r="AZ169" s="14"/>
      <c r="BA169" s="15">
        <f>SUM(C169:AZ169)</f>
        <v>0</v>
      </c>
      <c r="BB169" s="13">
        <f>BA169*B169</f>
        <v>0</v>
      </c>
    </row>
    <row r="170" spans="1:54" ht="14.1" customHeight="1" x14ac:dyDescent="0.25">
      <c r="A170" s="12" t="s">
        <v>164</v>
      </c>
      <c r="B170" s="13">
        <v>57</v>
      </c>
      <c r="C170" s="14"/>
      <c r="D170" s="14"/>
      <c r="E170" s="14"/>
      <c r="F170" s="14"/>
      <c r="G170" s="14"/>
      <c r="H170" s="14"/>
      <c r="I170" s="14"/>
      <c r="J170" s="14"/>
      <c r="K170" s="14"/>
      <c r="L170" s="14"/>
      <c r="M170" s="14"/>
      <c r="N170" s="14"/>
      <c r="O170" s="14"/>
      <c r="P170" s="14"/>
      <c r="Q170" s="14"/>
      <c r="R170" s="14"/>
      <c r="S170" s="14"/>
      <c r="T170" s="14"/>
      <c r="U170" s="14"/>
      <c r="V170" s="14"/>
      <c r="W170" s="14"/>
      <c r="X170" s="14"/>
      <c r="Y170" s="14"/>
      <c r="Z170" s="14"/>
      <c r="AA170" s="14"/>
      <c r="AB170" s="14"/>
      <c r="AC170" s="14"/>
      <c r="AD170" s="14"/>
      <c r="AE170" s="14"/>
      <c r="AF170" s="14"/>
      <c r="AG170" s="14"/>
      <c r="AH170" s="14"/>
      <c r="AI170" s="14"/>
      <c r="AJ170" s="14"/>
      <c r="AK170" s="14"/>
      <c r="AL170" s="14"/>
      <c r="AM170" s="14"/>
      <c r="AN170" s="14"/>
      <c r="AO170" s="14"/>
      <c r="AP170" s="14"/>
      <c r="AQ170" s="14"/>
      <c r="AR170" s="14"/>
      <c r="AS170" s="14"/>
      <c r="AT170" s="14"/>
      <c r="AU170" s="14"/>
      <c r="AV170" s="14"/>
      <c r="AW170" s="14"/>
      <c r="AX170" s="14"/>
      <c r="AY170" s="14"/>
      <c r="AZ170" s="14"/>
      <c r="BA170" s="15">
        <f>SUM(C170:AZ170)</f>
        <v>0</v>
      </c>
      <c r="BB170" s="13">
        <f>BA170*B170</f>
        <v>0</v>
      </c>
    </row>
    <row r="171" spans="1:54" ht="14.1" customHeight="1" x14ac:dyDescent="0.25">
      <c r="A171" s="12" t="s">
        <v>169</v>
      </c>
      <c r="B171" s="13">
        <v>39</v>
      </c>
      <c r="C171" s="14"/>
      <c r="D171" s="14"/>
      <c r="E171" s="14"/>
      <c r="F171" s="14"/>
      <c r="G171" s="14"/>
      <c r="H171" s="14"/>
      <c r="I171" s="14"/>
      <c r="J171" s="14"/>
      <c r="K171" s="14"/>
      <c r="L171" s="14"/>
      <c r="M171" s="14"/>
      <c r="N171" s="14"/>
      <c r="O171" s="14"/>
      <c r="P171" s="14"/>
      <c r="Q171" s="14"/>
      <c r="R171" s="14"/>
      <c r="S171" s="14"/>
      <c r="T171" s="14"/>
      <c r="U171" s="14"/>
      <c r="V171" s="14"/>
      <c r="W171" s="14"/>
      <c r="X171" s="14"/>
      <c r="Y171" s="14"/>
      <c r="Z171" s="14"/>
      <c r="AA171" s="14"/>
      <c r="AB171" s="14"/>
      <c r="AC171" s="14"/>
      <c r="AD171" s="14"/>
      <c r="AE171" s="14"/>
      <c r="AF171" s="14"/>
      <c r="AG171" s="14"/>
      <c r="AH171" s="14"/>
      <c r="AI171" s="14"/>
      <c r="AJ171" s="14"/>
      <c r="AK171" s="14"/>
      <c r="AL171" s="14"/>
      <c r="AM171" s="14"/>
      <c r="AN171" s="14"/>
      <c r="AO171" s="14"/>
      <c r="AP171" s="14"/>
      <c r="AQ171" s="14"/>
      <c r="AR171" s="14"/>
      <c r="AS171" s="14"/>
      <c r="AT171" s="14"/>
      <c r="AU171" s="14"/>
      <c r="AV171" s="14"/>
      <c r="AW171" s="14"/>
      <c r="AX171" s="14"/>
      <c r="AY171" s="14"/>
      <c r="AZ171" s="14"/>
      <c r="BA171" s="15">
        <f>SUM(C171:AZ171)</f>
        <v>0</v>
      </c>
      <c r="BB171" s="13">
        <f>BA171*B171</f>
        <v>0</v>
      </c>
    </row>
    <row r="172" spans="1:54" ht="14.1" customHeight="1" x14ac:dyDescent="0.25">
      <c r="A172" s="12" t="s">
        <v>170</v>
      </c>
      <c r="B172" s="13">
        <v>39</v>
      </c>
      <c r="C172" s="14"/>
      <c r="D172" s="14"/>
      <c r="E172" s="14"/>
      <c r="F172" s="14"/>
      <c r="G172" s="14"/>
      <c r="H172" s="14"/>
      <c r="I172" s="14"/>
      <c r="J172" s="14"/>
      <c r="K172" s="14"/>
      <c r="L172" s="14"/>
      <c r="M172" s="14"/>
      <c r="N172" s="14"/>
      <c r="O172" s="14"/>
      <c r="P172" s="14"/>
      <c r="Q172" s="14"/>
      <c r="R172" s="14"/>
      <c r="S172" s="14"/>
      <c r="T172" s="14"/>
      <c r="U172" s="14"/>
      <c r="V172" s="14"/>
      <c r="W172" s="14"/>
      <c r="X172" s="14"/>
      <c r="Y172" s="14"/>
      <c r="Z172" s="14"/>
      <c r="AA172" s="14"/>
      <c r="AB172" s="14"/>
      <c r="AC172" s="14"/>
      <c r="AD172" s="14"/>
      <c r="AE172" s="14"/>
      <c r="AF172" s="14"/>
      <c r="AG172" s="14"/>
      <c r="AH172" s="14"/>
      <c r="AI172" s="14"/>
      <c r="AJ172" s="14"/>
      <c r="AK172" s="14"/>
      <c r="AL172" s="14"/>
      <c r="AM172" s="14"/>
      <c r="AN172" s="14"/>
      <c r="AO172" s="14"/>
      <c r="AP172" s="14"/>
      <c r="AQ172" s="14"/>
      <c r="AR172" s="14"/>
      <c r="AS172" s="14"/>
      <c r="AT172" s="14"/>
      <c r="AU172" s="14"/>
      <c r="AV172" s="14"/>
      <c r="AW172" s="14"/>
      <c r="AX172" s="14"/>
      <c r="AY172" s="14"/>
      <c r="AZ172" s="14"/>
      <c r="BA172" s="15">
        <f>SUM(C172:AZ172)</f>
        <v>0</v>
      </c>
      <c r="BB172" s="13">
        <f>BA172*B172</f>
        <v>0</v>
      </c>
    </row>
    <row r="173" spans="1:54" ht="14.1" customHeight="1" x14ac:dyDescent="0.25">
      <c r="A173" s="12" t="s">
        <v>171</v>
      </c>
      <c r="B173" s="13">
        <v>39</v>
      </c>
      <c r="C173" s="14"/>
      <c r="D173" s="14"/>
      <c r="E173" s="14"/>
      <c r="F173" s="14"/>
      <c r="G173" s="14"/>
      <c r="H173" s="14"/>
      <c r="I173" s="14"/>
      <c r="J173" s="14"/>
      <c r="K173" s="14"/>
      <c r="L173" s="14"/>
      <c r="M173" s="14"/>
      <c r="N173" s="14"/>
      <c r="O173" s="14"/>
      <c r="P173" s="14"/>
      <c r="Q173" s="14"/>
      <c r="R173" s="14"/>
      <c r="S173" s="14"/>
      <c r="T173" s="14"/>
      <c r="U173" s="14"/>
      <c r="V173" s="14"/>
      <c r="W173" s="14"/>
      <c r="X173" s="14"/>
      <c r="Y173" s="14"/>
      <c r="Z173" s="14"/>
      <c r="AA173" s="14"/>
      <c r="AB173" s="14"/>
      <c r="AC173" s="14"/>
      <c r="AD173" s="14"/>
      <c r="AE173" s="14"/>
      <c r="AF173" s="14"/>
      <c r="AG173" s="14"/>
      <c r="AH173" s="14"/>
      <c r="AI173" s="14"/>
      <c r="AJ173" s="14"/>
      <c r="AK173" s="14"/>
      <c r="AL173" s="14"/>
      <c r="AM173" s="14"/>
      <c r="AN173" s="14"/>
      <c r="AO173" s="14"/>
      <c r="AP173" s="14"/>
      <c r="AQ173" s="14"/>
      <c r="AR173" s="14"/>
      <c r="AS173" s="14"/>
      <c r="AT173" s="14"/>
      <c r="AU173" s="14"/>
      <c r="AV173" s="14"/>
      <c r="AW173" s="14"/>
      <c r="AX173" s="14"/>
      <c r="AY173" s="14"/>
      <c r="AZ173" s="14"/>
      <c r="BA173" s="15">
        <f>SUM(C173:AZ173)</f>
        <v>0</v>
      </c>
      <c r="BB173" s="13">
        <f>BA173*B173</f>
        <v>0</v>
      </c>
    </row>
    <row r="174" spans="1:54" ht="14.1" customHeight="1" x14ac:dyDescent="0.25">
      <c r="A174" s="12" t="s">
        <v>172</v>
      </c>
      <c r="B174" s="13">
        <v>39</v>
      </c>
      <c r="C174" s="14"/>
      <c r="D174" s="14"/>
      <c r="E174" s="14"/>
      <c r="F174" s="14"/>
      <c r="G174" s="14"/>
      <c r="H174" s="14"/>
      <c r="I174" s="14"/>
      <c r="J174" s="14"/>
      <c r="K174" s="14"/>
      <c r="L174" s="14"/>
      <c r="M174" s="14"/>
      <c r="N174" s="14"/>
      <c r="O174" s="14"/>
      <c r="P174" s="14"/>
      <c r="Q174" s="14"/>
      <c r="R174" s="14"/>
      <c r="S174" s="14"/>
      <c r="T174" s="14"/>
      <c r="U174" s="14"/>
      <c r="V174" s="14"/>
      <c r="W174" s="14"/>
      <c r="X174" s="14"/>
      <c r="Y174" s="14"/>
      <c r="Z174" s="14"/>
      <c r="AA174" s="14"/>
      <c r="AB174" s="14"/>
      <c r="AC174" s="14"/>
      <c r="AD174" s="14"/>
      <c r="AE174" s="14"/>
      <c r="AF174" s="14"/>
      <c r="AG174" s="14"/>
      <c r="AH174" s="14"/>
      <c r="AI174" s="14"/>
      <c r="AJ174" s="14"/>
      <c r="AK174" s="14"/>
      <c r="AL174" s="14"/>
      <c r="AM174" s="14"/>
      <c r="AN174" s="14"/>
      <c r="AO174" s="14"/>
      <c r="AP174" s="14"/>
      <c r="AQ174" s="14"/>
      <c r="AR174" s="14"/>
      <c r="AS174" s="14"/>
      <c r="AT174" s="14"/>
      <c r="AU174" s="14"/>
      <c r="AV174" s="14"/>
      <c r="AW174" s="14"/>
      <c r="AX174" s="14"/>
      <c r="AY174" s="14"/>
      <c r="AZ174" s="14"/>
      <c r="BA174" s="15">
        <f>SUM(C174:AZ174)</f>
        <v>0</v>
      </c>
      <c r="BB174" s="13">
        <f>BA174*B174</f>
        <v>0</v>
      </c>
    </row>
    <row r="175" spans="1:54" ht="14.1" customHeight="1" x14ac:dyDescent="0.25">
      <c r="A175" s="12" t="s">
        <v>174</v>
      </c>
      <c r="B175" s="13">
        <v>76</v>
      </c>
      <c r="C175" s="14"/>
      <c r="D175" s="14"/>
      <c r="E175" s="14"/>
      <c r="F175" s="14"/>
      <c r="G175" s="14"/>
      <c r="H175" s="14"/>
      <c r="I175" s="14"/>
      <c r="J175" s="14"/>
      <c r="K175" s="14"/>
      <c r="L175" s="14"/>
      <c r="M175" s="14"/>
      <c r="N175" s="14"/>
      <c r="O175" s="14"/>
      <c r="P175" s="14"/>
      <c r="Q175" s="14"/>
      <c r="R175" s="14"/>
      <c r="S175" s="14"/>
      <c r="T175" s="14"/>
      <c r="U175" s="14"/>
      <c r="V175" s="14"/>
      <c r="W175" s="14"/>
      <c r="X175" s="14"/>
      <c r="Y175" s="14"/>
      <c r="Z175" s="14"/>
      <c r="AA175" s="14"/>
      <c r="AB175" s="14"/>
      <c r="AC175" s="14"/>
      <c r="AD175" s="14"/>
      <c r="AE175" s="14"/>
      <c r="AF175" s="14"/>
      <c r="AG175" s="14"/>
      <c r="AH175" s="14"/>
      <c r="AI175" s="14"/>
      <c r="AJ175" s="14"/>
      <c r="AK175" s="14"/>
      <c r="AL175" s="14"/>
      <c r="AM175" s="14"/>
      <c r="AN175" s="14"/>
      <c r="AO175" s="14"/>
      <c r="AP175" s="14"/>
      <c r="AQ175" s="14"/>
      <c r="AR175" s="14"/>
      <c r="AS175" s="14"/>
      <c r="AT175" s="14"/>
      <c r="AU175" s="14"/>
      <c r="AV175" s="14"/>
      <c r="AW175" s="14"/>
      <c r="AX175" s="14"/>
      <c r="AY175" s="14"/>
      <c r="AZ175" s="14"/>
      <c r="BA175" s="15">
        <f>SUM(C175:AZ175)</f>
        <v>0</v>
      </c>
      <c r="BB175" s="13">
        <f>BA175*B175</f>
        <v>0</v>
      </c>
    </row>
    <row r="176" spans="1:54" ht="14.1" customHeight="1" x14ac:dyDescent="0.25">
      <c r="A176" s="12" t="s">
        <v>173</v>
      </c>
      <c r="B176" s="13">
        <v>76</v>
      </c>
      <c r="C176" s="14"/>
      <c r="D176" s="14"/>
      <c r="E176" s="14"/>
      <c r="F176" s="14"/>
      <c r="G176" s="14"/>
      <c r="H176" s="14"/>
      <c r="I176" s="14"/>
      <c r="J176" s="14"/>
      <c r="K176" s="14"/>
      <c r="L176" s="14"/>
      <c r="M176" s="14"/>
      <c r="N176" s="14"/>
      <c r="O176" s="14"/>
      <c r="P176" s="14"/>
      <c r="Q176" s="14"/>
      <c r="R176" s="14"/>
      <c r="S176" s="14"/>
      <c r="T176" s="14"/>
      <c r="U176" s="14"/>
      <c r="V176" s="14"/>
      <c r="W176" s="14"/>
      <c r="X176" s="14"/>
      <c r="Y176" s="14"/>
      <c r="Z176" s="14"/>
      <c r="AA176" s="14"/>
      <c r="AB176" s="14"/>
      <c r="AC176" s="14"/>
      <c r="AD176" s="14"/>
      <c r="AE176" s="14"/>
      <c r="AF176" s="14"/>
      <c r="AG176" s="14"/>
      <c r="AH176" s="14"/>
      <c r="AI176" s="14"/>
      <c r="AJ176" s="14"/>
      <c r="AK176" s="14"/>
      <c r="AL176" s="14"/>
      <c r="AM176" s="14"/>
      <c r="AN176" s="14"/>
      <c r="AO176" s="14"/>
      <c r="AP176" s="14"/>
      <c r="AQ176" s="14"/>
      <c r="AR176" s="14"/>
      <c r="AS176" s="14"/>
      <c r="AT176" s="14"/>
      <c r="AU176" s="14"/>
      <c r="AV176" s="14"/>
      <c r="AW176" s="14"/>
      <c r="AX176" s="14"/>
      <c r="AY176" s="14"/>
      <c r="AZ176" s="14"/>
      <c r="BA176" s="15">
        <f>SUM(C176:AZ176)</f>
        <v>0</v>
      </c>
      <c r="BB176" s="13">
        <f>BA176*B176</f>
        <v>0</v>
      </c>
    </row>
    <row r="177" spans="1:54" ht="14.1" customHeight="1" x14ac:dyDescent="0.25">
      <c r="A177" s="12" t="s">
        <v>175</v>
      </c>
      <c r="B177" s="13">
        <v>76</v>
      </c>
      <c r="C177" s="14"/>
      <c r="D177" s="14"/>
      <c r="E177" s="14"/>
      <c r="F177" s="14"/>
      <c r="G177" s="14"/>
      <c r="H177" s="14"/>
      <c r="I177" s="14"/>
      <c r="J177" s="14"/>
      <c r="K177" s="14"/>
      <c r="L177" s="14"/>
      <c r="M177" s="14"/>
      <c r="N177" s="14"/>
      <c r="O177" s="14"/>
      <c r="P177" s="14"/>
      <c r="Q177" s="14"/>
      <c r="R177" s="14"/>
      <c r="S177" s="14"/>
      <c r="T177" s="14"/>
      <c r="U177" s="14"/>
      <c r="V177" s="14"/>
      <c r="W177" s="14"/>
      <c r="X177" s="14"/>
      <c r="Y177" s="14"/>
      <c r="Z177" s="14"/>
      <c r="AA177" s="14"/>
      <c r="AB177" s="14"/>
      <c r="AC177" s="14"/>
      <c r="AD177" s="14"/>
      <c r="AE177" s="14"/>
      <c r="AF177" s="14"/>
      <c r="AG177" s="14"/>
      <c r="AH177" s="14"/>
      <c r="AI177" s="14"/>
      <c r="AJ177" s="14"/>
      <c r="AK177" s="14"/>
      <c r="AL177" s="14"/>
      <c r="AM177" s="14"/>
      <c r="AN177" s="14"/>
      <c r="AO177" s="14"/>
      <c r="AP177" s="14"/>
      <c r="AQ177" s="14"/>
      <c r="AR177" s="14"/>
      <c r="AS177" s="14"/>
      <c r="AT177" s="14"/>
      <c r="AU177" s="14"/>
      <c r="AV177" s="14"/>
      <c r="AW177" s="14"/>
      <c r="AX177" s="14"/>
      <c r="AY177" s="14"/>
      <c r="AZ177" s="14"/>
      <c r="BA177" s="15">
        <f>SUM(C177:AZ177)</f>
        <v>0</v>
      </c>
      <c r="BB177" s="13">
        <f>BA177*B177</f>
        <v>0</v>
      </c>
    </row>
    <row r="178" spans="1:54" ht="14.1" customHeight="1" x14ac:dyDescent="0.25">
      <c r="A178" s="12" t="s">
        <v>178</v>
      </c>
      <c r="B178" s="13">
        <v>7</v>
      </c>
      <c r="C178" s="14"/>
      <c r="D178" s="14"/>
      <c r="E178" s="14"/>
      <c r="F178" s="14"/>
      <c r="G178" s="14"/>
      <c r="H178" s="14"/>
      <c r="I178" s="14"/>
      <c r="J178" s="14"/>
      <c r="K178" s="14"/>
      <c r="L178" s="14"/>
      <c r="M178" s="14"/>
      <c r="N178" s="14"/>
      <c r="O178" s="14"/>
      <c r="P178" s="14"/>
      <c r="Q178" s="14"/>
      <c r="R178" s="14"/>
      <c r="S178" s="14"/>
      <c r="T178" s="14"/>
      <c r="U178" s="14"/>
      <c r="V178" s="14"/>
      <c r="W178" s="14"/>
      <c r="X178" s="14"/>
      <c r="Y178" s="14"/>
      <c r="Z178" s="14"/>
      <c r="AA178" s="14"/>
      <c r="AB178" s="14"/>
      <c r="AC178" s="14"/>
      <c r="AD178" s="14"/>
      <c r="AE178" s="14"/>
      <c r="AF178" s="14"/>
      <c r="AG178" s="14"/>
      <c r="AH178" s="14"/>
      <c r="AI178" s="14"/>
      <c r="AJ178" s="14"/>
      <c r="AK178" s="14"/>
      <c r="AL178" s="14"/>
      <c r="AM178" s="14"/>
      <c r="AN178" s="14"/>
      <c r="AO178" s="14"/>
      <c r="AP178" s="14"/>
      <c r="AQ178" s="14"/>
      <c r="AR178" s="14"/>
      <c r="AS178" s="14"/>
      <c r="AT178" s="14"/>
      <c r="AU178" s="14"/>
      <c r="AV178" s="14"/>
      <c r="AW178" s="14"/>
      <c r="AX178" s="14"/>
      <c r="AY178" s="14"/>
      <c r="AZ178" s="14"/>
      <c r="BA178" s="15">
        <f>SUM(C178:AZ178)</f>
        <v>0</v>
      </c>
      <c r="BB178" s="13">
        <f>BA178*B178</f>
        <v>0</v>
      </c>
    </row>
    <row r="179" spans="1:54" ht="14.1" customHeight="1" x14ac:dyDescent="0.25">
      <c r="A179" s="12" t="s">
        <v>179</v>
      </c>
      <c r="B179" s="13">
        <v>7</v>
      </c>
      <c r="C179" s="14"/>
      <c r="D179" s="14"/>
      <c r="E179" s="14"/>
      <c r="F179" s="14"/>
      <c r="G179" s="14"/>
      <c r="H179" s="14"/>
      <c r="I179" s="14"/>
      <c r="J179" s="14"/>
      <c r="K179" s="14"/>
      <c r="L179" s="14"/>
      <c r="M179" s="14"/>
      <c r="N179" s="14"/>
      <c r="O179" s="14"/>
      <c r="P179" s="14"/>
      <c r="Q179" s="14"/>
      <c r="R179" s="14"/>
      <c r="S179" s="14"/>
      <c r="T179" s="14"/>
      <c r="U179" s="14"/>
      <c r="V179" s="14"/>
      <c r="W179" s="14"/>
      <c r="X179" s="14"/>
      <c r="Y179" s="14"/>
      <c r="Z179" s="14"/>
      <c r="AA179" s="14"/>
      <c r="AB179" s="14"/>
      <c r="AC179" s="14"/>
      <c r="AD179" s="14"/>
      <c r="AE179" s="14"/>
      <c r="AF179" s="14"/>
      <c r="AG179" s="14"/>
      <c r="AH179" s="14"/>
      <c r="AI179" s="14"/>
      <c r="AJ179" s="14"/>
      <c r="AK179" s="14"/>
      <c r="AL179" s="14"/>
      <c r="AM179" s="14"/>
      <c r="AN179" s="14"/>
      <c r="AO179" s="14"/>
      <c r="AP179" s="14"/>
      <c r="AQ179" s="14"/>
      <c r="AR179" s="14"/>
      <c r="AS179" s="14"/>
      <c r="AT179" s="14"/>
      <c r="AU179" s="14"/>
      <c r="AV179" s="14"/>
      <c r="AW179" s="14"/>
      <c r="AX179" s="14"/>
      <c r="AY179" s="14"/>
      <c r="AZ179" s="14"/>
      <c r="BA179" s="15">
        <f>SUM(C179:AZ179)</f>
        <v>0</v>
      </c>
      <c r="BB179" s="13">
        <f>BA179*B179</f>
        <v>0</v>
      </c>
    </row>
    <row r="180" spans="1:54" ht="14.1" customHeight="1" x14ac:dyDescent="0.25">
      <c r="A180" s="12" t="s">
        <v>176</v>
      </c>
      <c r="B180" s="13">
        <v>4</v>
      </c>
      <c r="C180" s="14"/>
      <c r="D180" s="14"/>
      <c r="E180" s="14"/>
      <c r="F180" s="14"/>
      <c r="G180" s="14"/>
      <c r="H180" s="14"/>
      <c r="I180" s="14"/>
      <c r="J180" s="14"/>
      <c r="K180" s="14"/>
      <c r="L180" s="14"/>
      <c r="M180" s="14"/>
      <c r="N180" s="14"/>
      <c r="O180" s="14"/>
      <c r="P180" s="14"/>
      <c r="Q180" s="14"/>
      <c r="R180" s="14"/>
      <c r="S180" s="14"/>
      <c r="T180" s="14"/>
      <c r="U180" s="14"/>
      <c r="V180" s="14"/>
      <c r="W180" s="14"/>
      <c r="X180" s="14"/>
      <c r="Y180" s="14"/>
      <c r="Z180" s="14"/>
      <c r="AA180" s="14"/>
      <c r="AB180" s="14"/>
      <c r="AC180" s="14"/>
      <c r="AD180" s="14"/>
      <c r="AE180" s="14"/>
      <c r="AF180" s="14"/>
      <c r="AG180" s="14"/>
      <c r="AH180" s="14"/>
      <c r="AI180" s="14"/>
      <c r="AJ180" s="14"/>
      <c r="AK180" s="14"/>
      <c r="AL180" s="14"/>
      <c r="AM180" s="14"/>
      <c r="AN180" s="14"/>
      <c r="AO180" s="14"/>
      <c r="AP180" s="14"/>
      <c r="AQ180" s="14"/>
      <c r="AR180" s="14"/>
      <c r="AS180" s="14"/>
      <c r="AT180" s="14"/>
      <c r="AU180" s="14"/>
      <c r="AV180" s="14"/>
      <c r="AW180" s="14"/>
      <c r="AX180" s="14"/>
      <c r="AY180" s="14"/>
      <c r="AZ180" s="14"/>
      <c r="BA180" s="15">
        <f>SUM(C180:AZ180)</f>
        <v>0</v>
      </c>
      <c r="BB180" s="13">
        <f>BA180*B180</f>
        <v>0</v>
      </c>
    </row>
    <row r="181" spans="1:54" ht="14.1" customHeight="1" x14ac:dyDescent="0.25">
      <c r="A181" s="12" t="s">
        <v>177</v>
      </c>
      <c r="B181" s="13">
        <v>4</v>
      </c>
      <c r="C181" s="14"/>
      <c r="D181" s="14"/>
      <c r="E181" s="14"/>
      <c r="F181" s="14"/>
      <c r="G181" s="14"/>
      <c r="H181" s="14"/>
      <c r="I181" s="14"/>
      <c r="J181" s="14"/>
      <c r="K181" s="14"/>
      <c r="L181" s="14"/>
      <c r="M181" s="14"/>
      <c r="N181" s="14"/>
      <c r="O181" s="14"/>
      <c r="P181" s="14"/>
      <c r="Q181" s="14"/>
      <c r="R181" s="14"/>
      <c r="S181" s="14"/>
      <c r="T181" s="14"/>
      <c r="U181" s="14"/>
      <c r="V181" s="14"/>
      <c r="W181" s="14"/>
      <c r="X181" s="14"/>
      <c r="Y181" s="14"/>
      <c r="Z181" s="14"/>
      <c r="AA181" s="14"/>
      <c r="AB181" s="14"/>
      <c r="AC181" s="14"/>
      <c r="AD181" s="14"/>
      <c r="AE181" s="14"/>
      <c r="AF181" s="14"/>
      <c r="AG181" s="14"/>
      <c r="AH181" s="14"/>
      <c r="AI181" s="14"/>
      <c r="AJ181" s="14"/>
      <c r="AK181" s="14"/>
      <c r="AL181" s="14"/>
      <c r="AM181" s="14"/>
      <c r="AN181" s="14"/>
      <c r="AO181" s="14"/>
      <c r="AP181" s="14"/>
      <c r="AQ181" s="14"/>
      <c r="AR181" s="14"/>
      <c r="AS181" s="14"/>
      <c r="AT181" s="14"/>
      <c r="AU181" s="14"/>
      <c r="AV181" s="14"/>
      <c r="AW181" s="14"/>
      <c r="AX181" s="14"/>
      <c r="AY181" s="14"/>
      <c r="AZ181" s="14"/>
      <c r="BA181" s="15">
        <f>SUM(C181:AZ181)</f>
        <v>0</v>
      </c>
      <c r="BB181" s="13">
        <f>BA181*B181</f>
        <v>0</v>
      </c>
    </row>
    <row r="182" spans="1:54" ht="14.1" customHeight="1" thickBot="1" x14ac:dyDescent="0.3">
      <c r="A182" s="16" t="s">
        <v>180</v>
      </c>
      <c r="B182" s="18"/>
      <c r="C182" s="11"/>
      <c r="D182" s="11"/>
      <c r="E182" s="11"/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</row>
    <row r="183" spans="1:54" ht="14.1" customHeight="1" x14ac:dyDescent="0.25">
      <c r="A183" s="17" t="s">
        <v>181</v>
      </c>
      <c r="B183" s="19">
        <v>296</v>
      </c>
      <c r="C183" s="14"/>
      <c r="D183" s="14"/>
      <c r="E183" s="14"/>
      <c r="F183" s="14"/>
      <c r="G183" s="14"/>
      <c r="H183" s="14"/>
      <c r="I183" s="14"/>
      <c r="J183" s="14"/>
      <c r="K183" s="14"/>
      <c r="L183" s="14"/>
      <c r="M183" s="14"/>
      <c r="N183" s="14"/>
      <c r="O183" s="14"/>
      <c r="P183" s="14"/>
      <c r="Q183" s="14"/>
      <c r="R183" s="14"/>
      <c r="S183" s="14"/>
      <c r="T183" s="14"/>
      <c r="U183" s="14"/>
      <c r="V183" s="14"/>
      <c r="W183" s="14"/>
      <c r="X183" s="14"/>
      <c r="Y183" s="14"/>
      <c r="Z183" s="14"/>
      <c r="AA183" s="14"/>
      <c r="AB183" s="14"/>
      <c r="AC183" s="14"/>
      <c r="AD183" s="14"/>
      <c r="AE183" s="14"/>
      <c r="AF183" s="14"/>
      <c r="AG183" s="14"/>
      <c r="AH183" s="14"/>
      <c r="AI183" s="14"/>
      <c r="AJ183" s="14"/>
      <c r="AK183" s="14"/>
      <c r="AL183" s="14"/>
      <c r="AM183" s="14"/>
      <c r="AN183" s="14"/>
      <c r="AO183" s="14"/>
      <c r="AP183" s="14"/>
      <c r="AQ183" s="14"/>
      <c r="AR183" s="14"/>
      <c r="AS183" s="14"/>
      <c r="AT183" s="14"/>
      <c r="AU183" s="14"/>
      <c r="AV183" s="14"/>
      <c r="AW183" s="14"/>
      <c r="AX183" s="14"/>
      <c r="AY183" s="14"/>
      <c r="AZ183" s="14"/>
      <c r="BA183" s="20">
        <f>SUM(C183:AZ183)</f>
        <v>0</v>
      </c>
      <c r="BB183" s="21">
        <f>BA183*B183</f>
        <v>0</v>
      </c>
    </row>
    <row r="184" spans="1:54" ht="14.1" customHeight="1" x14ac:dyDescent="0.25">
      <c r="A184" s="22" t="s">
        <v>119</v>
      </c>
      <c r="B184" s="23"/>
      <c r="C184" s="26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</row>
    <row r="185" spans="1:54" ht="14.1" customHeight="1" x14ac:dyDescent="0.25">
      <c r="A185" s="24" t="s">
        <v>182</v>
      </c>
      <c r="B185" s="25"/>
      <c r="C185" s="27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</row>
    <row r="186" spans="1:54" ht="14.1" customHeight="1" thickBot="1" x14ac:dyDescent="0.3">
      <c r="A186" s="28" t="s">
        <v>34</v>
      </c>
      <c r="B186" s="29"/>
      <c r="C186" s="27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</row>
    <row r="187" spans="1:54" ht="14.1" customHeight="1" x14ac:dyDescent="0.25">
      <c r="A187" s="17" t="s">
        <v>183</v>
      </c>
      <c r="B187" s="19">
        <v>395</v>
      </c>
      <c r="C187" s="14"/>
      <c r="D187" s="14"/>
      <c r="E187" s="14"/>
      <c r="F187" s="14"/>
      <c r="G187" s="14"/>
      <c r="H187" s="14"/>
      <c r="I187" s="14"/>
      <c r="J187" s="14"/>
      <c r="K187" s="14"/>
      <c r="L187" s="14"/>
      <c r="M187" s="14"/>
      <c r="N187" s="14"/>
      <c r="O187" s="14"/>
      <c r="P187" s="14"/>
      <c r="Q187" s="14"/>
      <c r="R187" s="14"/>
      <c r="S187" s="14"/>
      <c r="T187" s="14"/>
      <c r="U187" s="14"/>
      <c r="V187" s="14"/>
      <c r="W187" s="14"/>
      <c r="X187" s="14"/>
      <c r="Y187" s="14"/>
      <c r="Z187" s="14"/>
      <c r="AA187" s="14"/>
      <c r="AB187" s="14"/>
      <c r="AC187" s="14"/>
      <c r="AD187" s="14"/>
      <c r="AE187" s="14"/>
      <c r="AF187" s="14"/>
      <c r="AG187" s="14"/>
      <c r="AH187" s="14"/>
      <c r="AI187" s="14"/>
      <c r="AJ187" s="14"/>
      <c r="AK187" s="14"/>
      <c r="AL187" s="14"/>
      <c r="AM187" s="14"/>
      <c r="AN187" s="14"/>
      <c r="AO187" s="14"/>
      <c r="AP187" s="14"/>
      <c r="AQ187" s="14"/>
      <c r="AR187" s="14"/>
      <c r="AS187" s="14"/>
      <c r="AT187" s="14"/>
      <c r="AU187" s="14"/>
      <c r="AV187" s="14"/>
      <c r="AW187" s="14"/>
      <c r="AX187" s="14"/>
      <c r="AY187" s="14"/>
      <c r="AZ187" s="14"/>
      <c r="BA187" s="20">
        <f>SUM(C187:AZ187)</f>
        <v>0</v>
      </c>
      <c r="BB187" s="21">
        <f>BA187*B187</f>
        <v>0</v>
      </c>
    </row>
    <row r="188" spans="1:54" ht="14.1" customHeight="1" x14ac:dyDescent="0.25">
      <c r="A188" s="22" t="s">
        <v>223</v>
      </c>
      <c r="B188" s="23"/>
      <c r="C188" s="26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</row>
    <row r="189" spans="1:54" ht="14.1" customHeight="1" x14ac:dyDescent="0.25">
      <c r="A189" s="24" t="s">
        <v>239</v>
      </c>
      <c r="B189" s="25"/>
      <c r="C189" s="27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</row>
    <row r="190" spans="1:54" ht="14.1" customHeight="1" thickBot="1" x14ac:dyDescent="0.3">
      <c r="A190" s="28" t="s">
        <v>241</v>
      </c>
      <c r="B190" s="29"/>
      <c r="C190" s="27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</row>
    <row r="191" spans="1:54" ht="14.1" customHeight="1" x14ac:dyDescent="0.25">
      <c r="A191" s="17" t="s">
        <v>186</v>
      </c>
      <c r="B191" s="19">
        <v>461</v>
      </c>
      <c r="C191" s="14"/>
      <c r="D191" s="14"/>
      <c r="E191" s="14"/>
      <c r="F191" s="14"/>
      <c r="G191" s="14"/>
      <c r="H191" s="14"/>
      <c r="I191" s="14"/>
      <c r="J191" s="14"/>
      <c r="K191" s="14"/>
      <c r="L191" s="14"/>
      <c r="M191" s="14"/>
      <c r="N191" s="14"/>
      <c r="O191" s="14"/>
      <c r="P191" s="14"/>
      <c r="Q191" s="14"/>
      <c r="R191" s="14"/>
      <c r="S191" s="14"/>
      <c r="T191" s="14"/>
      <c r="U191" s="14"/>
      <c r="V191" s="14"/>
      <c r="W191" s="14"/>
      <c r="X191" s="14"/>
      <c r="Y191" s="14"/>
      <c r="Z191" s="14"/>
      <c r="AA191" s="14"/>
      <c r="AB191" s="14"/>
      <c r="AC191" s="14"/>
      <c r="AD191" s="14"/>
      <c r="AE191" s="14"/>
      <c r="AF191" s="14"/>
      <c r="AG191" s="14"/>
      <c r="AH191" s="14"/>
      <c r="AI191" s="14"/>
      <c r="AJ191" s="14"/>
      <c r="AK191" s="14"/>
      <c r="AL191" s="14"/>
      <c r="AM191" s="14"/>
      <c r="AN191" s="14"/>
      <c r="AO191" s="14"/>
      <c r="AP191" s="14"/>
      <c r="AQ191" s="14"/>
      <c r="AR191" s="14"/>
      <c r="AS191" s="14"/>
      <c r="AT191" s="14"/>
      <c r="AU191" s="14"/>
      <c r="AV191" s="14"/>
      <c r="AW191" s="14"/>
      <c r="AX191" s="14"/>
      <c r="AY191" s="14"/>
      <c r="AZ191" s="14"/>
      <c r="BA191" s="20">
        <f>SUM(C191:AZ191)</f>
        <v>0</v>
      </c>
      <c r="BB191" s="21">
        <f>BA191*B191</f>
        <v>0</v>
      </c>
    </row>
    <row r="192" spans="1:54" ht="14.1" customHeight="1" x14ac:dyDescent="0.25">
      <c r="A192" s="22" t="s">
        <v>209</v>
      </c>
      <c r="B192" s="23"/>
      <c r="C192" s="26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</row>
    <row r="193" spans="1:54" ht="14.1" customHeight="1" x14ac:dyDescent="0.25">
      <c r="A193" s="24" t="s">
        <v>223</v>
      </c>
      <c r="B193" s="25"/>
      <c r="C193" s="27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</row>
    <row r="194" spans="1:54" ht="14.1" customHeight="1" x14ac:dyDescent="0.25">
      <c r="A194" s="24" t="s">
        <v>239</v>
      </c>
      <c r="B194" s="25"/>
      <c r="C194" s="27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</row>
    <row r="195" spans="1:54" ht="14.1" customHeight="1" thickBot="1" x14ac:dyDescent="0.3">
      <c r="A195" s="28" t="s">
        <v>241</v>
      </c>
      <c r="B195" s="29"/>
      <c r="C195" s="27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</row>
    <row r="196" spans="1:54" ht="14.1" customHeight="1" x14ac:dyDescent="0.25">
      <c r="A196" s="17" t="s">
        <v>188</v>
      </c>
      <c r="B196" s="19">
        <v>432</v>
      </c>
      <c r="C196" s="14"/>
      <c r="D196" s="14"/>
      <c r="E196" s="14"/>
      <c r="F196" s="14"/>
      <c r="G196" s="14"/>
      <c r="H196" s="14"/>
      <c r="I196" s="14"/>
      <c r="J196" s="14"/>
      <c r="K196" s="14"/>
      <c r="L196" s="14"/>
      <c r="M196" s="14"/>
      <c r="N196" s="14"/>
      <c r="O196" s="14"/>
      <c r="P196" s="14"/>
      <c r="Q196" s="14"/>
      <c r="R196" s="14"/>
      <c r="S196" s="14"/>
      <c r="T196" s="14"/>
      <c r="U196" s="14"/>
      <c r="V196" s="14"/>
      <c r="W196" s="14"/>
      <c r="X196" s="14"/>
      <c r="Y196" s="14"/>
      <c r="Z196" s="14"/>
      <c r="AA196" s="14"/>
      <c r="AB196" s="14"/>
      <c r="AC196" s="14"/>
      <c r="AD196" s="14"/>
      <c r="AE196" s="14"/>
      <c r="AF196" s="14"/>
      <c r="AG196" s="14"/>
      <c r="AH196" s="14"/>
      <c r="AI196" s="14"/>
      <c r="AJ196" s="14"/>
      <c r="AK196" s="14"/>
      <c r="AL196" s="14"/>
      <c r="AM196" s="14"/>
      <c r="AN196" s="14"/>
      <c r="AO196" s="14"/>
      <c r="AP196" s="14"/>
      <c r="AQ196" s="14"/>
      <c r="AR196" s="14"/>
      <c r="AS196" s="14"/>
      <c r="AT196" s="14"/>
      <c r="AU196" s="14"/>
      <c r="AV196" s="14"/>
      <c r="AW196" s="14"/>
      <c r="AX196" s="14"/>
      <c r="AY196" s="14"/>
      <c r="AZ196" s="14"/>
      <c r="BA196" s="20">
        <f>SUM(C196:AZ196)</f>
        <v>0</v>
      </c>
      <c r="BB196" s="21">
        <f>BA196*B196</f>
        <v>0</v>
      </c>
    </row>
    <row r="197" spans="1:54" ht="14.1" customHeight="1" x14ac:dyDescent="0.25">
      <c r="A197" s="22" t="s">
        <v>242</v>
      </c>
      <c r="B197" s="23"/>
      <c r="C197" s="26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</row>
    <row r="198" spans="1:54" ht="14.1" customHeight="1" x14ac:dyDescent="0.25">
      <c r="A198" s="24" t="s">
        <v>67</v>
      </c>
      <c r="B198" s="25"/>
      <c r="C198" s="27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</row>
    <row r="199" spans="1:54" ht="14.1" customHeight="1" thickBot="1" x14ac:dyDescent="0.3">
      <c r="A199" s="28" t="s">
        <v>238</v>
      </c>
      <c r="B199" s="29"/>
      <c r="C199" s="27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</row>
    <row r="200" spans="1:54" ht="14.1" customHeight="1" x14ac:dyDescent="0.25">
      <c r="A200" s="17" t="s">
        <v>189</v>
      </c>
      <c r="B200" s="19">
        <v>496</v>
      </c>
      <c r="C200" s="14"/>
      <c r="D200" s="14"/>
      <c r="E200" s="14"/>
      <c r="F200" s="14"/>
      <c r="G200" s="14"/>
      <c r="H200" s="14"/>
      <c r="I200" s="14"/>
      <c r="J200" s="14"/>
      <c r="K200" s="14"/>
      <c r="L200" s="14"/>
      <c r="M200" s="14"/>
      <c r="N200" s="14"/>
      <c r="O200" s="14"/>
      <c r="P200" s="14"/>
      <c r="Q200" s="14"/>
      <c r="R200" s="14"/>
      <c r="S200" s="14"/>
      <c r="T200" s="14"/>
      <c r="U200" s="14"/>
      <c r="V200" s="14"/>
      <c r="W200" s="14"/>
      <c r="X200" s="14"/>
      <c r="Y200" s="14"/>
      <c r="Z200" s="14"/>
      <c r="AA200" s="14"/>
      <c r="AB200" s="14"/>
      <c r="AC200" s="14"/>
      <c r="AD200" s="14"/>
      <c r="AE200" s="14"/>
      <c r="AF200" s="14"/>
      <c r="AG200" s="14"/>
      <c r="AH200" s="14"/>
      <c r="AI200" s="14"/>
      <c r="AJ200" s="14"/>
      <c r="AK200" s="14"/>
      <c r="AL200" s="14"/>
      <c r="AM200" s="14"/>
      <c r="AN200" s="14"/>
      <c r="AO200" s="14"/>
      <c r="AP200" s="14"/>
      <c r="AQ200" s="14"/>
      <c r="AR200" s="14"/>
      <c r="AS200" s="14"/>
      <c r="AT200" s="14"/>
      <c r="AU200" s="14"/>
      <c r="AV200" s="14"/>
      <c r="AW200" s="14"/>
      <c r="AX200" s="14"/>
      <c r="AY200" s="14"/>
      <c r="AZ200" s="14"/>
      <c r="BA200" s="20">
        <f>SUM(C200:AZ200)</f>
        <v>0</v>
      </c>
      <c r="BB200" s="21">
        <f>BA200*B200</f>
        <v>0</v>
      </c>
    </row>
    <row r="201" spans="1:54" ht="14.1" customHeight="1" x14ac:dyDescent="0.25">
      <c r="A201" s="22" t="s">
        <v>242</v>
      </c>
      <c r="B201" s="23"/>
      <c r="C201" s="26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</row>
    <row r="202" spans="1:54" ht="14.1" customHeight="1" x14ac:dyDescent="0.25">
      <c r="A202" s="24" t="s">
        <v>67</v>
      </c>
      <c r="B202" s="25"/>
      <c r="C202" s="27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</row>
    <row r="203" spans="1:54" ht="14.1" customHeight="1" x14ac:dyDescent="0.25">
      <c r="A203" s="24" t="s">
        <v>238</v>
      </c>
      <c r="B203" s="25"/>
      <c r="C203" s="27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</row>
    <row r="204" spans="1:54" ht="14.1" customHeight="1" thickBot="1" x14ac:dyDescent="0.3">
      <c r="A204" s="28" t="s">
        <v>143</v>
      </c>
      <c r="B204" s="29"/>
      <c r="C204" s="27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</row>
    <row r="205" spans="1:54" ht="14.1" customHeight="1" x14ac:dyDescent="0.25">
      <c r="A205" s="17" t="s">
        <v>190</v>
      </c>
      <c r="B205" s="19">
        <v>310</v>
      </c>
      <c r="C205" s="14"/>
      <c r="D205" s="14"/>
      <c r="E205" s="14"/>
      <c r="F205" s="14"/>
      <c r="G205" s="14"/>
      <c r="H205" s="14"/>
      <c r="I205" s="14"/>
      <c r="J205" s="14"/>
      <c r="K205" s="14"/>
      <c r="L205" s="14"/>
      <c r="M205" s="14"/>
      <c r="N205" s="14"/>
      <c r="O205" s="14"/>
      <c r="P205" s="14"/>
      <c r="Q205" s="14"/>
      <c r="R205" s="14"/>
      <c r="S205" s="14"/>
      <c r="T205" s="14"/>
      <c r="U205" s="14"/>
      <c r="V205" s="14"/>
      <c r="W205" s="14"/>
      <c r="X205" s="14"/>
      <c r="Y205" s="14"/>
      <c r="Z205" s="14"/>
      <c r="AA205" s="14"/>
      <c r="AB205" s="14"/>
      <c r="AC205" s="14"/>
      <c r="AD205" s="14"/>
      <c r="AE205" s="14"/>
      <c r="AF205" s="14"/>
      <c r="AG205" s="14"/>
      <c r="AH205" s="14"/>
      <c r="AI205" s="14"/>
      <c r="AJ205" s="14"/>
      <c r="AK205" s="14"/>
      <c r="AL205" s="14"/>
      <c r="AM205" s="14"/>
      <c r="AN205" s="14"/>
      <c r="AO205" s="14"/>
      <c r="AP205" s="14"/>
      <c r="AQ205" s="14"/>
      <c r="AR205" s="14"/>
      <c r="AS205" s="14"/>
      <c r="AT205" s="14"/>
      <c r="AU205" s="14"/>
      <c r="AV205" s="14"/>
      <c r="AW205" s="14"/>
      <c r="AX205" s="14"/>
      <c r="AY205" s="14"/>
      <c r="AZ205" s="14"/>
      <c r="BA205" s="20">
        <f>SUM(C205:AZ205)</f>
        <v>0</v>
      </c>
      <c r="BB205" s="21">
        <f>BA205*B205</f>
        <v>0</v>
      </c>
    </row>
    <row r="206" spans="1:54" ht="14.1" customHeight="1" x14ac:dyDescent="0.25">
      <c r="A206" s="22" t="s">
        <v>244</v>
      </c>
      <c r="B206" s="23"/>
      <c r="C206" s="26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</row>
    <row r="207" spans="1:54" ht="14.1" customHeight="1" thickBot="1" x14ac:dyDescent="0.3">
      <c r="A207" s="28" t="s">
        <v>15</v>
      </c>
      <c r="B207" s="29"/>
      <c r="C207" s="27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</row>
    <row r="208" spans="1:54" ht="14.1" customHeight="1" x14ac:dyDescent="0.25">
      <c r="A208" s="17" t="s">
        <v>191</v>
      </c>
      <c r="B208" s="19">
        <v>361</v>
      </c>
      <c r="C208" s="14"/>
      <c r="D208" s="14"/>
      <c r="E208" s="14"/>
      <c r="F208" s="14"/>
      <c r="G208" s="14"/>
      <c r="H208" s="14"/>
      <c r="I208" s="14"/>
      <c r="J208" s="14"/>
      <c r="K208" s="14"/>
      <c r="L208" s="14"/>
      <c r="M208" s="14"/>
      <c r="N208" s="14"/>
      <c r="O208" s="14"/>
      <c r="P208" s="14"/>
      <c r="Q208" s="14"/>
      <c r="R208" s="14"/>
      <c r="S208" s="14"/>
      <c r="T208" s="14"/>
      <c r="U208" s="14"/>
      <c r="V208" s="14"/>
      <c r="W208" s="14"/>
      <c r="X208" s="14"/>
      <c r="Y208" s="14"/>
      <c r="Z208" s="14"/>
      <c r="AA208" s="14"/>
      <c r="AB208" s="14"/>
      <c r="AC208" s="14"/>
      <c r="AD208" s="14"/>
      <c r="AE208" s="14"/>
      <c r="AF208" s="14"/>
      <c r="AG208" s="14"/>
      <c r="AH208" s="14"/>
      <c r="AI208" s="14"/>
      <c r="AJ208" s="14"/>
      <c r="AK208" s="14"/>
      <c r="AL208" s="14"/>
      <c r="AM208" s="14"/>
      <c r="AN208" s="14"/>
      <c r="AO208" s="14"/>
      <c r="AP208" s="14"/>
      <c r="AQ208" s="14"/>
      <c r="AR208" s="14"/>
      <c r="AS208" s="14"/>
      <c r="AT208" s="14"/>
      <c r="AU208" s="14"/>
      <c r="AV208" s="14"/>
      <c r="AW208" s="14"/>
      <c r="AX208" s="14"/>
      <c r="AY208" s="14"/>
      <c r="AZ208" s="14"/>
      <c r="BA208" s="20">
        <f>SUM(C208:AZ208)</f>
        <v>0</v>
      </c>
      <c r="BB208" s="21">
        <f>BA208*B208</f>
        <v>0</v>
      </c>
    </row>
    <row r="209" spans="1:54" ht="14.1" customHeight="1" x14ac:dyDescent="0.25">
      <c r="A209" s="22" t="s">
        <v>248</v>
      </c>
      <c r="B209" s="23"/>
      <c r="C209" s="26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</row>
    <row r="210" spans="1:54" ht="14.1" customHeight="1" thickBot="1" x14ac:dyDescent="0.3">
      <c r="A210" s="28" t="s">
        <v>18</v>
      </c>
      <c r="B210" s="29"/>
      <c r="C210" s="27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</row>
    <row r="211" spans="1:54" ht="14.1" customHeight="1" x14ac:dyDescent="0.25">
      <c r="A211" s="17" t="s">
        <v>194</v>
      </c>
      <c r="B211" s="19">
        <v>276</v>
      </c>
      <c r="C211" s="14"/>
      <c r="D211" s="14"/>
      <c r="E211" s="14"/>
      <c r="F211" s="14"/>
      <c r="G211" s="14"/>
      <c r="H211" s="14"/>
      <c r="I211" s="14"/>
      <c r="J211" s="14"/>
      <c r="K211" s="14"/>
      <c r="L211" s="14"/>
      <c r="M211" s="14"/>
      <c r="N211" s="14"/>
      <c r="O211" s="14"/>
      <c r="P211" s="14"/>
      <c r="Q211" s="14"/>
      <c r="R211" s="14"/>
      <c r="S211" s="14"/>
      <c r="T211" s="14"/>
      <c r="U211" s="14"/>
      <c r="V211" s="14"/>
      <c r="W211" s="14"/>
      <c r="X211" s="14"/>
      <c r="Y211" s="14"/>
      <c r="Z211" s="14"/>
      <c r="AA211" s="14"/>
      <c r="AB211" s="14"/>
      <c r="AC211" s="14"/>
      <c r="AD211" s="14"/>
      <c r="AE211" s="14"/>
      <c r="AF211" s="14"/>
      <c r="AG211" s="14"/>
      <c r="AH211" s="14"/>
      <c r="AI211" s="14"/>
      <c r="AJ211" s="14"/>
      <c r="AK211" s="14"/>
      <c r="AL211" s="14"/>
      <c r="AM211" s="14"/>
      <c r="AN211" s="14"/>
      <c r="AO211" s="14"/>
      <c r="AP211" s="14"/>
      <c r="AQ211" s="14"/>
      <c r="AR211" s="14"/>
      <c r="AS211" s="14"/>
      <c r="AT211" s="14"/>
      <c r="AU211" s="14"/>
      <c r="AV211" s="14"/>
      <c r="AW211" s="14"/>
      <c r="AX211" s="14"/>
      <c r="AY211" s="14"/>
      <c r="AZ211" s="14"/>
      <c r="BA211" s="20">
        <f>SUM(C211:AZ211)</f>
        <v>0</v>
      </c>
      <c r="BB211" s="21">
        <f>BA211*B211</f>
        <v>0</v>
      </c>
    </row>
    <row r="212" spans="1:54" ht="14.1" customHeight="1" x14ac:dyDescent="0.25">
      <c r="A212" s="22" t="s">
        <v>243</v>
      </c>
      <c r="B212" s="23"/>
      <c r="C212" s="26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</row>
    <row r="213" spans="1:54" ht="14.1" customHeight="1" thickBot="1" x14ac:dyDescent="0.3">
      <c r="A213" s="28" t="s">
        <v>240</v>
      </c>
      <c r="B213" s="29"/>
      <c r="C213" s="27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</row>
    <row r="214" spans="1:54" ht="14.1" customHeight="1" x14ac:dyDescent="0.25">
      <c r="A214" s="17" t="s">
        <v>195</v>
      </c>
      <c r="B214" s="19">
        <v>300</v>
      </c>
      <c r="C214" s="14"/>
      <c r="D214" s="14"/>
      <c r="E214" s="14"/>
      <c r="F214" s="14"/>
      <c r="G214" s="14"/>
      <c r="H214" s="14"/>
      <c r="I214" s="14"/>
      <c r="J214" s="14"/>
      <c r="K214" s="14"/>
      <c r="L214" s="14"/>
      <c r="M214" s="14"/>
      <c r="N214" s="14"/>
      <c r="O214" s="14"/>
      <c r="P214" s="14"/>
      <c r="Q214" s="14"/>
      <c r="R214" s="14"/>
      <c r="S214" s="14"/>
      <c r="T214" s="14"/>
      <c r="U214" s="14"/>
      <c r="V214" s="14"/>
      <c r="W214" s="14"/>
      <c r="X214" s="14"/>
      <c r="Y214" s="14"/>
      <c r="Z214" s="14"/>
      <c r="AA214" s="14"/>
      <c r="AB214" s="14"/>
      <c r="AC214" s="14"/>
      <c r="AD214" s="14"/>
      <c r="AE214" s="14"/>
      <c r="AF214" s="14"/>
      <c r="AG214" s="14"/>
      <c r="AH214" s="14"/>
      <c r="AI214" s="14"/>
      <c r="AJ214" s="14"/>
      <c r="AK214" s="14"/>
      <c r="AL214" s="14"/>
      <c r="AM214" s="14"/>
      <c r="AN214" s="14"/>
      <c r="AO214" s="14"/>
      <c r="AP214" s="14"/>
      <c r="AQ214" s="14"/>
      <c r="AR214" s="14"/>
      <c r="AS214" s="14"/>
      <c r="AT214" s="14"/>
      <c r="AU214" s="14"/>
      <c r="AV214" s="14"/>
      <c r="AW214" s="14"/>
      <c r="AX214" s="14"/>
      <c r="AY214" s="14"/>
      <c r="AZ214" s="14"/>
      <c r="BA214" s="20">
        <f>SUM(C214:AZ214)</f>
        <v>0</v>
      </c>
      <c r="BB214" s="21">
        <f>BA214*B214</f>
        <v>0</v>
      </c>
    </row>
    <row r="215" spans="1:54" ht="14.1" customHeight="1" x14ac:dyDescent="0.25">
      <c r="A215" s="22" t="s">
        <v>241</v>
      </c>
      <c r="B215" s="23"/>
      <c r="C215" s="26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</row>
    <row r="216" spans="1:54" ht="14.1" customHeight="1" thickBot="1" x14ac:dyDescent="0.3">
      <c r="A216" s="28" t="s">
        <v>85</v>
      </c>
      <c r="B216" s="29"/>
      <c r="C216" s="27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</row>
    <row r="217" spans="1:54" x14ac:dyDescent="0.25">
      <c r="A217" s="30"/>
      <c r="B217" s="30"/>
      <c r="C217" s="15">
        <f>SUMPRODUCT(C9:C214,$B$9:$B$214)</f>
        <v>0</v>
      </c>
      <c r="D217" s="15">
        <f>SUMPRODUCT(D9:D214,$B$9:$B$214)</f>
        <v>0</v>
      </c>
      <c r="E217" s="15">
        <f>SUMPRODUCT(E9:E214,$B$9:$B$214)</f>
        <v>0</v>
      </c>
      <c r="F217" s="15">
        <f>SUMPRODUCT(F9:F214,$B$9:$B$214)</f>
        <v>0</v>
      </c>
      <c r="G217" s="15">
        <f>SUMPRODUCT(G9:G214,$B$9:$B$214)</f>
        <v>0</v>
      </c>
      <c r="H217" s="15">
        <f>SUMPRODUCT(H9:H214,$B$9:$B$214)</f>
        <v>0</v>
      </c>
      <c r="I217" s="15">
        <f>SUMPRODUCT(I9:I214,$B$9:$B$214)</f>
        <v>0</v>
      </c>
      <c r="J217" s="15">
        <f>SUMPRODUCT(J9:J214,$B$9:$B$214)</f>
        <v>0</v>
      </c>
      <c r="K217" s="15">
        <f>SUMPRODUCT(K9:K214,$B$9:$B$214)</f>
        <v>0</v>
      </c>
      <c r="L217" s="15">
        <f>SUMPRODUCT(L9:L214,$B$9:$B$214)</f>
        <v>0</v>
      </c>
      <c r="M217" s="15">
        <f>SUMPRODUCT(M9:M214,$B$9:$B$214)</f>
        <v>0</v>
      </c>
      <c r="N217" s="15">
        <f>SUMPRODUCT(N9:N214,$B$9:$B$214)</f>
        <v>0</v>
      </c>
      <c r="O217" s="15">
        <f>SUMPRODUCT(O9:O214,$B$9:$B$214)</f>
        <v>0</v>
      </c>
      <c r="P217" s="15">
        <f>SUMPRODUCT(P9:P214,$B$9:$B$214)</f>
        <v>0</v>
      </c>
      <c r="Q217" s="15">
        <f>SUMPRODUCT(Q9:Q214,$B$9:$B$214)</f>
        <v>0</v>
      </c>
      <c r="R217" s="15">
        <f>SUMPRODUCT(R9:R214,$B$9:$B$214)</f>
        <v>0</v>
      </c>
      <c r="S217" s="15">
        <f>SUMPRODUCT(S9:S214,$B$9:$B$214)</f>
        <v>0</v>
      </c>
      <c r="T217" s="15">
        <f>SUMPRODUCT(T9:T214,$B$9:$B$214)</f>
        <v>0</v>
      </c>
      <c r="U217" s="15">
        <f>SUMPRODUCT(U9:U214,$B$9:$B$214)</f>
        <v>0</v>
      </c>
      <c r="V217" s="15">
        <f>SUMPRODUCT(V9:V214,$B$9:$B$214)</f>
        <v>0</v>
      </c>
      <c r="W217" s="15">
        <f>SUMPRODUCT(W9:W214,$B$9:$B$214)</f>
        <v>0</v>
      </c>
      <c r="X217" s="15">
        <f>SUMPRODUCT(X9:X214,$B$9:$B$214)</f>
        <v>0</v>
      </c>
      <c r="Y217" s="15">
        <f>SUMPRODUCT(Y9:Y214,$B$9:$B$214)</f>
        <v>0</v>
      </c>
      <c r="Z217" s="15">
        <f>SUMPRODUCT(Z9:Z214,$B$9:$B$214)</f>
        <v>0</v>
      </c>
      <c r="AA217" s="15">
        <f>SUMPRODUCT(AA9:AA214,$B$9:$B$214)</f>
        <v>0</v>
      </c>
      <c r="AB217" s="15">
        <f>SUMPRODUCT(AB9:AB214,$B$9:$B$214)</f>
        <v>0</v>
      </c>
      <c r="AC217" s="15">
        <f>SUMPRODUCT(AC9:AC214,$B$9:$B$214)</f>
        <v>0</v>
      </c>
      <c r="AD217" s="15">
        <f>SUMPRODUCT(AD9:AD214,$B$9:$B$214)</f>
        <v>0</v>
      </c>
      <c r="AE217" s="15">
        <f>SUMPRODUCT(AE9:AE214,$B$9:$B$214)</f>
        <v>0</v>
      </c>
      <c r="AF217" s="15">
        <f>SUMPRODUCT(AF9:AF214,$B$9:$B$214)</f>
        <v>0</v>
      </c>
      <c r="AG217" s="15">
        <f>SUMPRODUCT(AG9:AG214,$B$9:$B$214)</f>
        <v>0</v>
      </c>
      <c r="AH217" s="15">
        <f>SUMPRODUCT(AH9:AH214,$B$9:$B$214)</f>
        <v>0</v>
      </c>
      <c r="AI217" s="15">
        <f>SUMPRODUCT(AI9:AI214,$B$9:$B$214)</f>
        <v>0</v>
      </c>
      <c r="AJ217" s="15">
        <f>SUMPRODUCT(AJ9:AJ214,$B$9:$B$214)</f>
        <v>0</v>
      </c>
      <c r="AK217" s="15">
        <f>SUMPRODUCT(AK9:AK214,$B$9:$B$214)</f>
        <v>0</v>
      </c>
      <c r="AL217" s="15">
        <f>SUMPRODUCT(AL9:AL214,$B$9:$B$214)</f>
        <v>0</v>
      </c>
      <c r="AM217" s="15">
        <f>SUMPRODUCT(AM9:AM214,$B$9:$B$214)</f>
        <v>0</v>
      </c>
      <c r="AN217" s="15">
        <f>SUMPRODUCT(AN9:AN214,$B$9:$B$214)</f>
        <v>0</v>
      </c>
      <c r="AO217" s="15">
        <f>SUMPRODUCT(AO9:AO214,$B$9:$B$214)</f>
        <v>0</v>
      </c>
      <c r="AP217" s="15">
        <f>SUMPRODUCT(AP9:AP214,$B$9:$B$214)</f>
        <v>0</v>
      </c>
      <c r="AQ217" s="15">
        <f>SUMPRODUCT(AQ9:AQ214,$B$9:$B$214)</f>
        <v>0</v>
      </c>
      <c r="AR217" s="15">
        <f>SUMPRODUCT(AR9:AR214,$B$9:$B$214)</f>
        <v>0</v>
      </c>
      <c r="AS217" s="15">
        <f>SUMPRODUCT(AS9:AS214,$B$9:$B$214)</f>
        <v>0</v>
      </c>
      <c r="AT217" s="15">
        <f>SUMPRODUCT(AT9:AT214,$B$9:$B$214)</f>
        <v>0</v>
      </c>
      <c r="AU217" s="15">
        <f>SUMPRODUCT(AU9:AU214,$B$9:$B$214)</f>
        <v>0</v>
      </c>
      <c r="AV217" s="15">
        <f>SUMPRODUCT(AV9:AV214,$B$9:$B$214)</f>
        <v>0</v>
      </c>
      <c r="AW217" s="15">
        <f>SUMPRODUCT(AW9:AW214,$B$9:$B$214)</f>
        <v>0</v>
      </c>
      <c r="AX217" s="15">
        <f>SUMPRODUCT(AX9:AX214,$B$9:$B$214)</f>
        <v>0</v>
      </c>
      <c r="AY217" s="15">
        <f>SUMPRODUCT(AY9:AY214,$B$9:$B$214)</f>
        <v>0</v>
      </c>
      <c r="AZ217" s="15">
        <f>SUMPRODUCT(AZ9:AZ214,$B$9:$B$214)</f>
        <v>0</v>
      </c>
      <c r="BA217" s="15">
        <f>$BA$10+$BA$11+$BA$12+$BA$13+$BA$14+$BA$15+$BA$16+$BA$17+$BA$18+$BA$19+$BA$20+$BA$21+$BA$22+$BA$23+$BA$24+$BA$25+$BA$26+$BA$27+$BA$28+$BA$29+$BA$30+$BA$31+$BA$32+$BA$34+$BA$35+$BA$36+$BA$37+$BA$38+$BA$39+$BA$40+$BA$41+$BA$42+$BA$43+$BA$44+$BA$46+$BA$47+$BA$49+$BA$50+$BA$51+$BA$52+$BA$53+$BA$54+$BA$55+$BA$56+$BA$57+$BA$58+$BA$59+$BA$60+$BA$61+$BA$62+$BA$63+$BA$64+$BA$65+$BA$66+$BA$67+$BA$68+$BA$69+$BA$70+$BA$71+$BA$72+$BA$73+$BA$74+$BA$75+$BA$76+$BA$77+$BA$78+$BA$79+$BA$80+$BA$81+$BA$82+$BA$83+$BA$84+$BA$85+$BA$86+$BA$87+$BA$88+$BA$89+$BA$90+$BA$91+$BA$92+$BA$93+$BA$94+$BA$95+$BA$97+$BA$98+$BA$99+$BA$100+$BA$102+$BA$103+$BA$104+$BA$105+$BA$106+$BA$107+$BA$108+$BA$109+$BA$110+$BA$111+$BA$112+$BA$114+$BA$115+$BA$116+$BA$117+$BA$118+$BA$120+$BA$121+$BA$122+$BA$123+$BA$124+$BA$125+$BA$126+$BA$127+$BA$128+$BA$129+$BA$130+$BA$131+$BA$132+$BA$133+$BA$134+$BA$135+$BA$136+$BA$137+$BA$139+$BA$140+$BA$141+$BA$142+$BA$143+$BA$144+$BA$145+$BA$146+$BA$147+$BA$148+$BA$149+$BA$150+$BA$151+$BA$152+$BA$153+$BA$154+$BA$155+$BA$156+$BA$157+$BA$158+$BA$159+$BA$160+$BA$161+$BA$163+$BA$164+$BA$165+$BA$166+$BA$167+$BA$168+$BA$169+$BA$170+$BA$171+$BA$172+$BA$173+$BA$174+$BA$175+$BA$176+$BA$177+$BA$178+$BA$179+$BA$180+$BA$181+$BA$183+$BA$187+$BA$191+$BA$196+$BA$200+$BA$205+$BA$208+$BA$211+$BA$214</f>
        <v>0</v>
      </c>
      <c r="BB217" s="13">
        <f>$BB$10+$BB$11+$BB$12+$BB$13+$BB$14+$BB$15+$BB$16+$BB$17+$BB$18+$BB$19+$BB$20+$BB$21+$BB$22+$BB$23+$BB$24+$BB$25+$BB$26+$BB$27+$BB$28+$BB$29+$BB$30+$BB$31+$BB$32+$BB$34+$BB$35+$BB$36+$BB$37+$BB$38+$BB$39+$BB$40+$BB$41+$BB$42+$BB$43+$BB$44+$BB$46+$BB$47+$BB$49+$BB$50+$BB$51+$BB$52+$BB$53+$BB$54+$BB$55+$BB$56+$BB$57+$BB$58+$BB$59+$BB$60+$BB$61+$BB$62+$BB$63+$BB$64+$BB$65+$BB$66+$BB$67+$BB$68+$BB$69+$BB$70+$BB$71+$BB$72+$BB$73+$BB$74+$BB$75+$BB$76+$BB$77+$BB$78+$BB$79+$BB$80+$BB$81+$BB$82+$BB$83+$BB$84+$BB$85+$BB$86+$BB$87+$BB$88+$BB$89+$BB$90+$BB$91+$BB$92+$BB$93+$BB$94+$BB$95+$BB$97+$BB$98+$BB$99+$BB$100+$BB$102+$BB$103+$BB$104+$BB$105+$BB$106+$BB$107+$BB$108+$BB$109+$BB$110+$BB$111+$BB$112+$BB$114+$BB$115+$BB$116+$BB$117+$BB$118+$BB$120+$BB$121+$BB$122+$BB$123+$BB$124+$BB$125+$BB$126+$BB$127+$BB$128+$BB$129+$BB$130+$BB$131+$BB$132+$BB$133+$BB$134+$BB$135+$BB$136+$BB$137+$BB$139+$BB$140+$BB$141+$BB$142+$BB$143+$BB$144+$BB$145+$BB$146+$BB$147+$BB$148+$BB$149+$BB$150+$BB$151+$BB$152+$BB$153+$BB$154+$BB$155+$BB$156+$BB$157+$BB$158+$BB$159+$BB$160+$BB$161+$BB$163+$BB$164+$BB$165+$BB$166+$BB$167+$BB$168+$BB$169+$BB$170+$BB$171+$BB$172+$BB$173+$BB$174+$BB$175+$BB$176+$BB$177+$BB$178+$BB$179+$BB$180+$BB$181+$BB$183+$BB$187+$BB$191+$BB$196+$BB$200+$BB$205+$BB$208+$BB$211+$BB$214</f>
        <v>0</v>
      </c>
    </row>
  </sheetData>
  <sheetProtection algorithmName="SHA-512" hashValue="PGK98m7/c/lLWiW4slB8q7KWj55c4zY1H5IrCYJMwQ03NSqdAW8RCbtausvkMgI4LR6rFEA6OG/codP/xo580w==" saltValue="yMwvWSYCLNfzVvrDWvDSAg==" spinCount="100000" sheet="1" objects="1" scenarios="1"/>
  <mergeCells count="41">
    <mergeCell ref="A215:B215"/>
    <mergeCell ref="A216:B216"/>
    <mergeCell ref="C215:BB216"/>
    <mergeCell ref="A209:B209"/>
    <mergeCell ref="A210:B210"/>
    <mergeCell ref="C209:BB210"/>
    <mergeCell ref="A212:B212"/>
    <mergeCell ref="A213:B213"/>
    <mergeCell ref="C212:BB213"/>
    <mergeCell ref="A203:B203"/>
    <mergeCell ref="A204:B204"/>
    <mergeCell ref="C201:BB204"/>
    <mergeCell ref="A206:B206"/>
    <mergeCell ref="A207:B207"/>
    <mergeCell ref="C206:BB207"/>
    <mergeCell ref="A197:B197"/>
    <mergeCell ref="A198:B198"/>
    <mergeCell ref="A199:B199"/>
    <mergeCell ref="C197:BB199"/>
    <mergeCell ref="A201:B201"/>
    <mergeCell ref="A202:B202"/>
    <mergeCell ref="A190:B190"/>
    <mergeCell ref="C188:BB190"/>
    <mergeCell ref="A192:B192"/>
    <mergeCell ref="A193:B193"/>
    <mergeCell ref="A194:B194"/>
    <mergeCell ref="A195:B195"/>
    <mergeCell ref="C192:BB195"/>
    <mergeCell ref="A184:B184"/>
    <mergeCell ref="A185:B185"/>
    <mergeCell ref="A186:B186"/>
    <mergeCell ref="C184:BB186"/>
    <mergeCell ref="A188:B188"/>
    <mergeCell ref="A189:B189"/>
    <mergeCell ref="A1:B4"/>
    <mergeCell ref="C1:BB4"/>
    <mergeCell ref="C5:AZ5"/>
    <mergeCell ref="C6:AZ6"/>
    <mergeCell ref="C7:AZ7"/>
    <mergeCell ref="BA5:BA7"/>
    <mergeCell ref="BB5:BB7"/>
  </mergeCells>
  <pageMargins left="0.39370078740157499" right="0.39370078740157499" top="0.75" bottom="0.75" header="0.3" footer="0.3"/>
  <pageSetup paperSize="9" scale="80" orientation="portrait" r:id="rId1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140"/>
  <sheetViews>
    <sheetView workbookViewId="0">
      <pane xSplit="2" ySplit="8" topLeftCell="C9" activePane="bottomRight" state="frozenSplit"/>
      <selection pane="bottomLeft" activeCell="A9" sqref="A9"/>
      <selection pane="topRight" activeCell="C1" sqref="C1"/>
      <selection pane="bottomRight" sqref="A1:B4"/>
    </sheetView>
  </sheetViews>
  <sheetFormatPr defaultRowHeight="15" x14ac:dyDescent="0.25"/>
  <cols>
    <col min="1" max="1" width="70.7109375" customWidth="1"/>
    <col min="2" max="2" width="7.7109375" customWidth="1"/>
    <col min="3" max="52" width="3.7109375" customWidth="1"/>
    <col min="53" max="53" width="5.7109375" customWidth="1"/>
    <col min="54" max="54" width="20.7109375" customWidth="1"/>
  </cols>
  <sheetData>
    <row r="1" spans="1:54" ht="35.1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</row>
    <row r="2" spans="1:54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spans="1:5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spans="1:54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spans="1:54" ht="20.100000000000001" customHeight="1" x14ac:dyDescent="0.25">
      <c r="C5" s="3" t="s">
        <v>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5" t="s">
        <v>5</v>
      </c>
      <c r="BB5" s="6" t="s">
        <v>6</v>
      </c>
    </row>
    <row r="6" spans="1:54" ht="20.100000000000001" customHeight="1" x14ac:dyDescent="0.25">
      <c r="C6" s="3" t="s">
        <v>249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5"/>
      <c r="BB6" s="6"/>
    </row>
    <row r="7" spans="1:54" ht="20.100000000000001" customHeight="1" x14ac:dyDescent="0.25">
      <c r="C7" s="3" t="s">
        <v>250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5"/>
      <c r="BB7" s="6"/>
    </row>
    <row r="8" spans="1:54" ht="14.1" customHeight="1" x14ac:dyDescent="0.25">
      <c r="A8" s="7" t="s">
        <v>0</v>
      </c>
      <c r="B8" s="8" t="s">
        <v>1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8"/>
      <c r="BB8" s="8"/>
    </row>
    <row r="9" spans="1:54" x14ac:dyDescent="0.25">
      <c r="A9" s="10" t="s">
        <v>7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</row>
    <row r="10" spans="1:54" ht="14.1" customHeight="1" x14ac:dyDescent="0.25">
      <c r="A10" s="12" t="s">
        <v>9</v>
      </c>
      <c r="B10" s="13">
        <v>127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5">
        <f>SUM(C10:AZ10)</f>
        <v>0</v>
      </c>
      <c r="BB10" s="13">
        <f>BA10*B10</f>
        <v>0</v>
      </c>
    </row>
    <row r="11" spans="1:54" ht="14.1" customHeight="1" x14ac:dyDescent="0.25">
      <c r="A11" s="12" t="s">
        <v>19</v>
      </c>
      <c r="B11" s="13">
        <v>112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5">
        <f>SUM(C11:AZ11)</f>
        <v>0</v>
      </c>
      <c r="BB11" s="13">
        <f>BA11*B11</f>
        <v>0</v>
      </c>
    </row>
    <row r="12" spans="1:54" ht="14.1" customHeight="1" x14ac:dyDescent="0.25">
      <c r="A12" s="12" t="s">
        <v>16</v>
      </c>
      <c r="B12" s="13">
        <v>142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5">
        <f>SUM(C12:AZ12)</f>
        <v>0</v>
      </c>
      <c r="BB12" s="13">
        <f>BA12*B12</f>
        <v>0</v>
      </c>
    </row>
    <row r="13" spans="1:54" ht="14.1" customHeight="1" x14ac:dyDescent="0.25">
      <c r="A13" s="12" t="s">
        <v>251</v>
      </c>
      <c r="B13" s="13">
        <v>129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5">
        <f>SUM(C13:AZ13)</f>
        <v>0</v>
      </c>
      <c r="BB13" s="13">
        <f>BA13*B13</f>
        <v>0</v>
      </c>
    </row>
    <row r="14" spans="1:54" ht="14.1" customHeight="1" x14ac:dyDescent="0.25">
      <c r="A14" s="12" t="s">
        <v>11</v>
      </c>
      <c r="B14" s="13">
        <v>149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5">
        <f>SUM(C14:AZ14)</f>
        <v>0</v>
      </c>
      <c r="BB14" s="13">
        <f>BA14*B14</f>
        <v>0</v>
      </c>
    </row>
    <row r="15" spans="1:54" ht="14.1" customHeight="1" x14ac:dyDescent="0.25">
      <c r="A15" s="12" t="s">
        <v>12</v>
      </c>
      <c r="B15" s="13">
        <v>149</v>
      </c>
      <c r="C15" s="14"/>
      <c r="D15" s="14"/>
      <c r="E15" s="14"/>
      <c r="F15" s="14"/>
      <c r="G15" s="14"/>
      <c r="H15" s="14"/>
      <c r="I15" s="14"/>
      <c r="J15" s="14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  <c r="AE15" s="14"/>
      <c r="AF15" s="14"/>
      <c r="AG15" s="14"/>
      <c r="AH15" s="14"/>
      <c r="AI15" s="14"/>
      <c r="AJ15" s="14"/>
      <c r="AK15" s="14"/>
      <c r="AL15" s="14"/>
      <c r="AM15" s="14"/>
      <c r="AN15" s="14"/>
      <c r="AO15" s="14"/>
      <c r="AP15" s="14"/>
      <c r="AQ15" s="14"/>
      <c r="AR15" s="14"/>
      <c r="AS15" s="14"/>
      <c r="AT15" s="14"/>
      <c r="AU15" s="14"/>
      <c r="AV15" s="14"/>
      <c r="AW15" s="14"/>
      <c r="AX15" s="14"/>
      <c r="AY15" s="14"/>
      <c r="AZ15" s="14"/>
      <c r="BA15" s="15">
        <f>SUM(C15:AZ15)</f>
        <v>0</v>
      </c>
      <c r="BB15" s="13">
        <f>BA15*B15</f>
        <v>0</v>
      </c>
    </row>
    <row r="16" spans="1:54" ht="14.1" customHeight="1" x14ac:dyDescent="0.25">
      <c r="A16" s="12" t="s">
        <v>13</v>
      </c>
      <c r="B16" s="13">
        <v>135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5">
        <f>SUM(C16:AZ16)</f>
        <v>0</v>
      </c>
      <c r="BB16" s="13">
        <f>BA16*B16</f>
        <v>0</v>
      </c>
    </row>
    <row r="17" spans="1:54" ht="14.1" customHeight="1" x14ac:dyDescent="0.25">
      <c r="A17" s="12" t="s">
        <v>18</v>
      </c>
      <c r="B17" s="13">
        <v>157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5">
        <f>SUM(C17:AZ17)</f>
        <v>0</v>
      </c>
      <c r="BB17" s="13">
        <f>BA17*B17</f>
        <v>0</v>
      </c>
    </row>
    <row r="18" spans="1:54" ht="14.1" customHeight="1" x14ac:dyDescent="0.25">
      <c r="A18" s="12" t="s">
        <v>252</v>
      </c>
      <c r="B18" s="13">
        <v>142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5">
        <f>SUM(C18:AZ18)</f>
        <v>0</v>
      </c>
      <c r="BB18" s="13">
        <f>BA18*B18</f>
        <v>0</v>
      </c>
    </row>
    <row r="19" spans="1:54" ht="14.1" customHeight="1" x14ac:dyDescent="0.25">
      <c r="A19" s="12" t="s">
        <v>201</v>
      </c>
      <c r="B19" s="13">
        <v>129</v>
      </c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  <c r="AE19" s="14"/>
      <c r="AF19" s="14"/>
      <c r="AG19" s="14"/>
      <c r="AH19" s="14"/>
      <c r="AI19" s="14"/>
      <c r="AJ19" s="14"/>
      <c r="AK19" s="14"/>
      <c r="AL19" s="14"/>
      <c r="AM19" s="14"/>
      <c r="AN19" s="14"/>
      <c r="AO19" s="14"/>
      <c r="AP19" s="14"/>
      <c r="AQ19" s="14"/>
      <c r="AR19" s="14"/>
      <c r="AS19" s="14"/>
      <c r="AT19" s="14"/>
      <c r="AU19" s="14"/>
      <c r="AV19" s="14"/>
      <c r="AW19" s="14"/>
      <c r="AX19" s="14"/>
      <c r="AY19" s="14"/>
      <c r="AZ19" s="14"/>
      <c r="BA19" s="15">
        <f>SUM(C19:AZ19)</f>
        <v>0</v>
      </c>
      <c r="BB19" s="13">
        <f>BA19*B19</f>
        <v>0</v>
      </c>
    </row>
    <row r="20" spans="1:54" ht="14.1" customHeight="1" x14ac:dyDescent="0.25">
      <c r="A20" s="12" t="s">
        <v>20</v>
      </c>
      <c r="B20" s="13">
        <v>268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5">
        <f>SUM(C20:AZ20)</f>
        <v>0</v>
      </c>
      <c r="BB20" s="13">
        <f>BA20*B20</f>
        <v>0</v>
      </c>
    </row>
    <row r="21" spans="1:54" ht="14.1" customHeight="1" x14ac:dyDescent="0.25">
      <c r="A21" s="12" t="s">
        <v>21</v>
      </c>
      <c r="B21" s="13">
        <v>268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5">
        <f>SUM(C21:AZ21)</f>
        <v>0</v>
      </c>
      <c r="BB21" s="13">
        <f>BA21*B21</f>
        <v>0</v>
      </c>
    </row>
    <row r="22" spans="1:54" x14ac:dyDescent="0.25">
      <c r="A22" s="10" t="s">
        <v>30</v>
      </c>
      <c r="B22" s="11"/>
      <c r="C22" s="11"/>
      <c r="D22" s="11"/>
      <c r="E22" s="11"/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  <c r="AA22" s="11"/>
      <c r="AB22" s="11"/>
      <c r="AC22" s="11"/>
      <c r="AD22" s="11"/>
      <c r="AE22" s="11"/>
      <c r="AF22" s="11"/>
      <c r="AG22" s="11"/>
      <c r="AH22" s="11"/>
      <c r="AI22" s="11"/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</row>
    <row r="23" spans="1:54" ht="14.1" customHeight="1" x14ac:dyDescent="0.25">
      <c r="A23" s="12" t="s">
        <v>31</v>
      </c>
      <c r="B23" s="13">
        <v>184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5">
        <f>SUM(C23:AZ23)</f>
        <v>0</v>
      </c>
      <c r="BB23" s="13">
        <f>BA23*B23</f>
        <v>0</v>
      </c>
    </row>
    <row r="24" spans="1:54" ht="14.1" customHeight="1" x14ac:dyDescent="0.25">
      <c r="A24" s="12" t="s">
        <v>33</v>
      </c>
      <c r="B24" s="13">
        <v>142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5">
        <f>SUM(C24:AZ24)</f>
        <v>0</v>
      </c>
      <c r="BB24" s="13">
        <f>BA24*B24</f>
        <v>0</v>
      </c>
    </row>
    <row r="25" spans="1:54" ht="14.1" customHeight="1" x14ac:dyDescent="0.25">
      <c r="A25" s="12" t="s">
        <v>37</v>
      </c>
      <c r="B25" s="13">
        <v>151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5">
        <f>SUM(C25:AZ25)</f>
        <v>0</v>
      </c>
      <c r="BB25" s="13">
        <f>BA25*B25</f>
        <v>0</v>
      </c>
    </row>
    <row r="26" spans="1:54" ht="14.1" customHeight="1" x14ac:dyDescent="0.25">
      <c r="A26" s="12" t="s">
        <v>38</v>
      </c>
      <c r="B26" s="13">
        <v>124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5">
        <f>SUM(C26:AZ26)</f>
        <v>0</v>
      </c>
      <c r="BB26" s="13">
        <f>BA26*B26</f>
        <v>0</v>
      </c>
    </row>
    <row r="27" spans="1:54" ht="14.1" customHeight="1" x14ac:dyDescent="0.25">
      <c r="A27" s="12" t="s">
        <v>39</v>
      </c>
      <c r="B27" s="13">
        <v>124</v>
      </c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  <c r="AE27" s="14"/>
      <c r="AF27" s="14"/>
      <c r="AG27" s="14"/>
      <c r="AH27" s="14"/>
      <c r="AI27" s="14"/>
      <c r="AJ27" s="14"/>
      <c r="AK27" s="14"/>
      <c r="AL27" s="14"/>
      <c r="AM27" s="14"/>
      <c r="AN27" s="14"/>
      <c r="AO27" s="14"/>
      <c r="AP27" s="14"/>
      <c r="AQ27" s="14"/>
      <c r="AR27" s="14"/>
      <c r="AS27" s="14"/>
      <c r="AT27" s="14"/>
      <c r="AU27" s="14"/>
      <c r="AV27" s="14"/>
      <c r="AW27" s="14"/>
      <c r="AX27" s="14"/>
      <c r="AY27" s="14"/>
      <c r="AZ27" s="14"/>
      <c r="BA27" s="15">
        <f>SUM(C27:AZ27)</f>
        <v>0</v>
      </c>
      <c r="BB27" s="13">
        <f>BA27*B27</f>
        <v>0</v>
      </c>
    </row>
    <row r="28" spans="1:54" x14ac:dyDescent="0.25">
      <c r="A28" s="10" t="s">
        <v>44</v>
      </c>
      <c r="B28" s="11"/>
      <c r="C28" s="11"/>
      <c r="D28" s="11"/>
      <c r="E28" s="11"/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  <c r="AA28" s="11"/>
      <c r="AB28" s="11"/>
      <c r="AC28" s="11"/>
      <c r="AD28" s="11"/>
      <c r="AE28" s="11"/>
      <c r="AF28" s="11"/>
      <c r="AG28" s="11"/>
      <c r="AH28" s="11"/>
      <c r="AI28" s="11"/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</row>
    <row r="29" spans="1:54" ht="14.1" customHeight="1" x14ac:dyDescent="0.25">
      <c r="A29" s="12" t="s">
        <v>253</v>
      </c>
      <c r="B29" s="13">
        <v>142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5">
        <f>SUM(C29:AZ29)</f>
        <v>0</v>
      </c>
      <c r="BB29" s="13">
        <f>BA29*B29</f>
        <v>0</v>
      </c>
    </row>
    <row r="30" spans="1:54" ht="14.1" customHeight="1" x14ac:dyDescent="0.25">
      <c r="A30" s="12" t="s">
        <v>254</v>
      </c>
      <c r="B30" s="13">
        <v>149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5">
        <f>SUM(C30:AZ30)</f>
        <v>0</v>
      </c>
      <c r="BB30" s="13">
        <f>BA30*B30</f>
        <v>0</v>
      </c>
    </row>
    <row r="31" spans="1:54" x14ac:dyDescent="0.25">
      <c r="A31" s="10" t="s">
        <v>47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</row>
    <row r="32" spans="1:54" ht="14.1" customHeight="1" x14ac:dyDescent="0.25">
      <c r="A32" s="12" t="s">
        <v>93</v>
      </c>
      <c r="B32" s="13">
        <v>178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5">
        <f>SUM(C32:AZ32)</f>
        <v>0</v>
      </c>
      <c r="BB32" s="13">
        <f>BA32*B32</f>
        <v>0</v>
      </c>
    </row>
    <row r="33" spans="1:54" ht="14.1" customHeight="1" x14ac:dyDescent="0.25">
      <c r="A33" s="12" t="s">
        <v>92</v>
      </c>
      <c r="B33" s="13">
        <v>137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5">
        <f>SUM(C33:AZ33)</f>
        <v>0</v>
      </c>
      <c r="BB33" s="13">
        <f>BA33*B33</f>
        <v>0</v>
      </c>
    </row>
    <row r="34" spans="1:54" ht="14.1" customHeight="1" x14ac:dyDescent="0.25">
      <c r="A34" s="12" t="s">
        <v>52</v>
      </c>
      <c r="B34" s="13">
        <v>178</v>
      </c>
      <c r="C34" s="14"/>
      <c r="D34" s="14"/>
      <c r="E34" s="14"/>
      <c r="F34" s="14"/>
      <c r="G34" s="14"/>
      <c r="H34" s="14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  <c r="T34" s="14"/>
      <c r="U34" s="14"/>
      <c r="V34" s="14"/>
      <c r="W34" s="14"/>
      <c r="X34" s="14"/>
      <c r="Y34" s="14"/>
      <c r="Z34" s="14"/>
      <c r="AA34" s="14"/>
      <c r="AB34" s="14"/>
      <c r="AC34" s="14"/>
      <c r="AD34" s="14"/>
      <c r="AE34" s="14"/>
      <c r="AF34" s="14"/>
      <c r="AG34" s="14"/>
      <c r="AH34" s="14"/>
      <c r="AI34" s="14"/>
      <c r="AJ34" s="14"/>
      <c r="AK34" s="14"/>
      <c r="AL34" s="14"/>
      <c r="AM34" s="14"/>
      <c r="AN34" s="14"/>
      <c r="AO34" s="14"/>
      <c r="AP34" s="14"/>
      <c r="AQ34" s="14"/>
      <c r="AR34" s="14"/>
      <c r="AS34" s="14"/>
      <c r="AT34" s="14"/>
      <c r="AU34" s="14"/>
      <c r="AV34" s="14"/>
      <c r="AW34" s="14"/>
      <c r="AX34" s="14"/>
      <c r="AY34" s="14"/>
      <c r="AZ34" s="14"/>
      <c r="BA34" s="15">
        <f>SUM(C34:AZ34)</f>
        <v>0</v>
      </c>
      <c r="BB34" s="13">
        <f>BA34*B34</f>
        <v>0</v>
      </c>
    </row>
    <row r="35" spans="1:54" ht="14.1" customHeight="1" x14ac:dyDescent="0.25">
      <c r="A35" s="12" t="s">
        <v>53</v>
      </c>
      <c r="B35" s="13">
        <v>219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5">
        <f>SUM(C35:AZ35)</f>
        <v>0</v>
      </c>
      <c r="BB35" s="13">
        <f>BA35*B35</f>
        <v>0</v>
      </c>
    </row>
    <row r="36" spans="1:54" ht="14.1" customHeight="1" x14ac:dyDescent="0.25">
      <c r="A36" s="12" t="s">
        <v>54</v>
      </c>
      <c r="B36" s="13">
        <v>205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5">
        <f>SUM(C36:AZ36)</f>
        <v>0</v>
      </c>
      <c r="BB36" s="13">
        <f>BA36*B36</f>
        <v>0</v>
      </c>
    </row>
    <row r="37" spans="1:54" ht="14.1" customHeight="1" x14ac:dyDescent="0.25">
      <c r="A37" s="12" t="s">
        <v>55</v>
      </c>
      <c r="B37" s="13">
        <v>219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5">
        <f>SUM(C37:AZ37)</f>
        <v>0</v>
      </c>
      <c r="BB37" s="13">
        <f>BA37*B37</f>
        <v>0</v>
      </c>
    </row>
    <row r="38" spans="1:54" ht="14.1" customHeight="1" x14ac:dyDescent="0.25">
      <c r="A38" s="12" t="s">
        <v>56</v>
      </c>
      <c r="B38" s="13">
        <v>205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5">
        <f>SUM(C38:AZ38)</f>
        <v>0</v>
      </c>
      <c r="BB38" s="13">
        <f>BA38*B38</f>
        <v>0</v>
      </c>
    </row>
    <row r="39" spans="1:54" ht="14.1" customHeight="1" x14ac:dyDescent="0.25">
      <c r="A39" s="12" t="s">
        <v>58</v>
      </c>
      <c r="B39" s="13">
        <v>219</v>
      </c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5">
        <f>SUM(C39:AZ39)</f>
        <v>0</v>
      </c>
      <c r="BB39" s="13">
        <f>BA39*B39</f>
        <v>0</v>
      </c>
    </row>
    <row r="40" spans="1:54" ht="14.1" customHeight="1" x14ac:dyDescent="0.25">
      <c r="A40" s="12" t="s">
        <v>59</v>
      </c>
      <c r="B40" s="13">
        <v>219</v>
      </c>
      <c r="C40" s="14"/>
      <c r="D40" s="14"/>
      <c r="E40" s="14"/>
      <c r="F40" s="14"/>
      <c r="G40" s="14"/>
      <c r="H40" s="14"/>
      <c r="I40" s="14"/>
      <c r="J40" s="14"/>
      <c r="K40" s="14"/>
      <c r="L40" s="14"/>
      <c r="M40" s="14"/>
      <c r="N40" s="14"/>
      <c r="O40" s="14"/>
      <c r="P40" s="14"/>
      <c r="Q40" s="14"/>
      <c r="R40" s="14"/>
      <c r="S40" s="14"/>
      <c r="T40" s="14"/>
      <c r="U40" s="14"/>
      <c r="V40" s="14"/>
      <c r="W40" s="14"/>
      <c r="X40" s="14"/>
      <c r="Y40" s="14"/>
      <c r="Z40" s="14"/>
      <c r="AA40" s="14"/>
      <c r="AB40" s="14"/>
      <c r="AC40" s="14"/>
      <c r="AD40" s="14"/>
      <c r="AE40" s="14"/>
      <c r="AF40" s="14"/>
      <c r="AG40" s="14"/>
      <c r="AH40" s="14"/>
      <c r="AI40" s="14"/>
      <c r="AJ40" s="14"/>
      <c r="AK40" s="14"/>
      <c r="AL40" s="14"/>
      <c r="AM40" s="14"/>
      <c r="AN40" s="14"/>
      <c r="AO40" s="14"/>
      <c r="AP40" s="14"/>
      <c r="AQ40" s="14"/>
      <c r="AR40" s="14"/>
      <c r="AS40" s="14"/>
      <c r="AT40" s="14"/>
      <c r="AU40" s="14"/>
      <c r="AV40" s="14"/>
      <c r="AW40" s="14"/>
      <c r="AX40" s="14"/>
      <c r="AY40" s="14"/>
      <c r="AZ40" s="14"/>
      <c r="BA40" s="15">
        <f>SUM(C40:AZ40)</f>
        <v>0</v>
      </c>
      <c r="BB40" s="13">
        <f>BA40*B40</f>
        <v>0</v>
      </c>
    </row>
    <row r="41" spans="1:54" ht="14.1" customHeight="1" x14ac:dyDescent="0.25">
      <c r="A41" s="12" t="s">
        <v>61</v>
      </c>
      <c r="B41" s="13">
        <v>205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5">
        <f>SUM(C41:AZ41)</f>
        <v>0</v>
      </c>
      <c r="BB41" s="13">
        <f>BA41*B41</f>
        <v>0</v>
      </c>
    </row>
    <row r="42" spans="1:54" ht="14.1" customHeight="1" x14ac:dyDescent="0.25">
      <c r="A42" s="12" t="s">
        <v>88</v>
      </c>
      <c r="B42" s="13">
        <v>233</v>
      </c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5">
        <f>SUM(C42:AZ42)</f>
        <v>0</v>
      </c>
      <c r="BB42" s="13">
        <f>BA42*B42</f>
        <v>0</v>
      </c>
    </row>
    <row r="43" spans="1:54" ht="14.1" customHeight="1" x14ac:dyDescent="0.25">
      <c r="A43" s="12" t="s">
        <v>62</v>
      </c>
      <c r="B43" s="13">
        <v>219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5">
        <f>SUM(C43:AZ43)</f>
        <v>0</v>
      </c>
      <c r="BB43" s="13">
        <f>BA43*B43</f>
        <v>0</v>
      </c>
    </row>
    <row r="44" spans="1:54" ht="14.1" customHeight="1" x14ac:dyDescent="0.25">
      <c r="A44" s="12" t="s">
        <v>63</v>
      </c>
      <c r="B44" s="13">
        <v>205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5">
        <f>SUM(C44:AZ44)</f>
        <v>0</v>
      </c>
      <c r="BB44" s="13">
        <f>BA44*B44</f>
        <v>0</v>
      </c>
    </row>
    <row r="45" spans="1:54" ht="14.1" customHeight="1" x14ac:dyDescent="0.25">
      <c r="A45" s="12" t="s">
        <v>91</v>
      </c>
      <c r="B45" s="13">
        <v>164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5">
        <f>SUM(C45:AZ45)</f>
        <v>0</v>
      </c>
      <c r="BB45" s="13">
        <f>BA45*B45</f>
        <v>0</v>
      </c>
    </row>
    <row r="46" spans="1:54" ht="14.1" customHeight="1" x14ac:dyDescent="0.25">
      <c r="A46" s="12" t="s">
        <v>65</v>
      </c>
      <c r="B46" s="13">
        <v>191</v>
      </c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5">
        <f>SUM(C46:AZ46)</f>
        <v>0</v>
      </c>
      <c r="BB46" s="13">
        <f>BA46*B46</f>
        <v>0</v>
      </c>
    </row>
    <row r="47" spans="1:54" ht="14.1" customHeight="1" x14ac:dyDescent="0.25">
      <c r="A47" s="12" t="s">
        <v>66</v>
      </c>
      <c r="B47" s="13">
        <v>212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5">
        <f>SUM(C47:AZ47)</f>
        <v>0</v>
      </c>
      <c r="BB47" s="13">
        <f>BA47*B47</f>
        <v>0</v>
      </c>
    </row>
    <row r="48" spans="1:54" ht="14.1" customHeight="1" x14ac:dyDescent="0.25">
      <c r="A48" s="12" t="s">
        <v>231</v>
      </c>
      <c r="B48" s="13">
        <v>178</v>
      </c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5">
        <f>SUM(C48:AZ48)</f>
        <v>0</v>
      </c>
      <c r="BB48" s="13">
        <f>BA48*B48</f>
        <v>0</v>
      </c>
    </row>
    <row r="49" spans="1:54" ht="14.1" customHeight="1" x14ac:dyDescent="0.25">
      <c r="A49" s="12" t="s">
        <v>67</v>
      </c>
      <c r="B49" s="13">
        <v>191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5">
        <f>SUM(C49:AZ49)</f>
        <v>0</v>
      </c>
      <c r="BB49" s="13">
        <f>BA49*B49</f>
        <v>0</v>
      </c>
    </row>
    <row r="50" spans="1:54" ht="14.1" customHeight="1" x14ac:dyDescent="0.25">
      <c r="A50" s="12" t="s">
        <v>68</v>
      </c>
      <c r="B50" s="13">
        <v>212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5">
        <f>SUM(C50:AZ50)</f>
        <v>0</v>
      </c>
      <c r="BB50" s="13">
        <f>BA50*B50</f>
        <v>0</v>
      </c>
    </row>
    <row r="51" spans="1:54" ht="14.1" customHeight="1" x14ac:dyDescent="0.25">
      <c r="A51" s="12" t="s">
        <v>69</v>
      </c>
      <c r="B51" s="13">
        <v>212</v>
      </c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5">
        <f>SUM(C51:AZ51)</f>
        <v>0</v>
      </c>
      <c r="BB51" s="13">
        <f>BA51*B51</f>
        <v>0</v>
      </c>
    </row>
    <row r="52" spans="1:54" ht="14.1" customHeight="1" x14ac:dyDescent="0.25">
      <c r="A52" s="12" t="s">
        <v>77</v>
      </c>
      <c r="B52" s="13">
        <v>219</v>
      </c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5">
        <f>SUM(C52:AZ52)</f>
        <v>0</v>
      </c>
      <c r="BB52" s="13">
        <f>BA52*B52</f>
        <v>0</v>
      </c>
    </row>
    <row r="53" spans="1:54" x14ac:dyDescent="0.25">
      <c r="A53" s="10" t="s">
        <v>94</v>
      </c>
      <c r="B53" s="11"/>
      <c r="C53" s="11"/>
      <c r="D53" s="11"/>
      <c r="E53" s="11"/>
      <c r="F53" s="11"/>
      <c r="G53" s="11"/>
      <c r="H53" s="11"/>
      <c r="I53" s="11"/>
      <c r="J53" s="11"/>
      <c r="K53" s="11"/>
      <c r="L53" s="11"/>
      <c r="M53" s="11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  <c r="AA53" s="11"/>
      <c r="AB53" s="11"/>
      <c r="AC53" s="11"/>
      <c r="AD53" s="11"/>
      <c r="AE53" s="11"/>
      <c r="AF53" s="11"/>
      <c r="AG53" s="11"/>
      <c r="AH53" s="11"/>
      <c r="AI53" s="11"/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</row>
    <row r="54" spans="1:54" ht="14.1" customHeight="1" x14ac:dyDescent="0.25">
      <c r="A54" s="12" t="s">
        <v>207</v>
      </c>
      <c r="B54" s="13">
        <v>129</v>
      </c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5">
        <f>SUM(C54:AZ54)</f>
        <v>0</v>
      </c>
      <c r="BB54" s="13">
        <f>BA54*B54</f>
        <v>0</v>
      </c>
    </row>
    <row r="55" spans="1:54" ht="14.1" customHeight="1" x14ac:dyDescent="0.25">
      <c r="A55" s="12" t="s">
        <v>96</v>
      </c>
      <c r="B55" s="13">
        <v>96</v>
      </c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5">
        <f>SUM(C55:AZ55)</f>
        <v>0</v>
      </c>
      <c r="BB55" s="13">
        <f>BA55*B55</f>
        <v>0</v>
      </c>
    </row>
    <row r="56" spans="1:54" ht="14.1" customHeight="1" x14ac:dyDescent="0.25">
      <c r="A56" s="12" t="s">
        <v>193</v>
      </c>
      <c r="B56" s="13">
        <v>96</v>
      </c>
      <c r="C56" s="14"/>
      <c r="D56" s="14"/>
      <c r="E56" s="14"/>
      <c r="F56" s="14"/>
      <c r="G56" s="14"/>
      <c r="H56" s="14"/>
      <c r="I56" s="14"/>
      <c r="J56" s="14"/>
      <c r="K56" s="14"/>
      <c r="L56" s="14"/>
      <c r="M56" s="14"/>
      <c r="N56" s="14"/>
      <c r="O56" s="14"/>
      <c r="P56" s="14"/>
      <c r="Q56" s="14"/>
      <c r="R56" s="14"/>
      <c r="S56" s="14"/>
      <c r="T56" s="14"/>
      <c r="U56" s="14"/>
      <c r="V56" s="14"/>
      <c r="W56" s="14"/>
      <c r="X56" s="14"/>
      <c r="Y56" s="14"/>
      <c r="Z56" s="14"/>
      <c r="AA56" s="14"/>
      <c r="AB56" s="14"/>
      <c r="AC56" s="14"/>
      <c r="AD56" s="14"/>
      <c r="AE56" s="14"/>
      <c r="AF56" s="14"/>
      <c r="AG56" s="14"/>
      <c r="AH56" s="14"/>
      <c r="AI56" s="14"/>
      <c r="AJ56" s="14"/>
      <c r="AK56" s="14"/>
      <c r="AL56" s="14"/>
      <c r="AM56" s="14"/>
      <c r="AN56" s="14"/>
      <c r="AO56" s="14"/>
      <c r="AP56" s="14"/>
      <c r="AQ56" s="14"/>
      <c r="AR56" s="14"/>
      <c r="AS56" s="14"/>
      <c r="AT56" s="14"/>
      <c r="AU56" s="14"/>
      <c r="AV56" s="14"/>
      <c r="AW56" s="14"/>
      <c r="AX56" s="14"/>
      <c r="AY56" s="14"/>
      <c r="AZ56" s="14"/>
      <c r="BA56" s="15">
        <f>SUM(C56:AZ56)</f>
        <v>0</v>
      </c>
      <c r="BB56" s="13">
        <f>BA56*B56</f>
        <v>0</v>
      </c>
    </row>
    <row r="57" spans="1:54" x14ac:dyDescent="0.25">
      <c r="A57" s="10" t="s">
        <v>99</v>
      </c>
      <c r="B57" s="11"/>
      <c r="C57" s="11"/>
      <c r="D57" s="11"/>
      <c r="E57" s="11"/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  <c r="AA57" s="11"/>
      <c r="AB57" s="11"/>
      <c r="AC57" s="11"/>
      <c r="AD57" s="11"/>
      <c r="AE57" s="11"/>
      <c r="AF57" s="11"/>
      <c r="AG57" s="11"/>
      <c r="AH57" s="11"/>
      <c r="AI57" s="11"/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</row>
    <row r="58" spans="1:54" ht="14.1" customHeight="1" x14ac:dyDescent="0.25">
      <c r="A58" s="12" t="s">
        <v>100</v>
      </c>
      <c r="B58" s="13">
        <v>96</v>
      </c>
      <c r="C58" s="14"/>
      <c r="D58" s="14"/>
      <c r="E58" s="14"/>
      <c r="F58" s="14"/>
      <c r="G58" s="14"/>
      <c r="H58" s="14"/>
      <c r="I58" s="14"/>
      <c r="J58" s="14"/>
      <c r="K58" s="14"/>
      <c r="L58" s="14"/>
      <c r="M58" s="14"/>
      <c r="N58" s="14"/>
      <c r="O58" s="14"/>
      <c r="P58" s="14"/>
      <c r="Q58" s="14"/>
      <c r="R58" s="14"/>
      <c r="S58" s="14"/>
      <c r="T58" s="14"/>
      <c r="U58" s="14"/>
      <c r="V58" s="14"/>
      <c r="W58" s="14"/>
      <c r="X58" s="14"/>
      <c r="Y58" s="14"/>
      <c r="Z58" s="14"/>
      <c r="AA58" s="14"/>
      <c r="AB58" s="14"/>
      <c r="AC58" s="14"/>
      <c r="AD58" s="14"/>
      <c r="AE58" s="14"/>
      <c r="AF58" s="14"/>
      <c r="AG58" s="14"/>
      <c r="AH58" s="14"/>
      <c r="AI58" s="14"/>
      <c r="AJ58" s="14"/>
      <c r="AK58" s="14"/>
      <c r="AL58" s="14"/>
      <c r="AM58" s="14"/>
      <c r="AN58" s="14"/>
      <c r="AO58" s="14"/>
      <c r="AP58" s="14"/>
      <c r="AQ58" s="14"/>
      <c r="AR58" s="14"/>
      <c r="AS58" s="14"/>
      <c r="AT58" s="14"/>
      <c r="AU58" s="14"/>
      <c r="AV58" s="14"/>
      <c r="AW58" s="14"/>
      <c r="AX58" s="14"/>
      <c r="AY58" s="14"/>
      <c r="AZ58" s="14"/>
      <c r="BA58" s="15">
        <f>SUM(C58:AZ58)</f>
        <v>0</v>
      </c>
      <c r="BB58" s="13">
        <f>BA58*B58</f>
        <v>0</v>
      </c>
    </row>
    <row r="59" spans="1:54" ht="14.1" customHeight="1" x14ac:dyDescent="0.25">
      <c r="A59" s="12" t="s">
        <v>101</v>
      </c>
      <c r="B59" s="13">
        <v>178</v>
      </c>
      <c r="C59" s="14"/>
      <c r="D59" s="14"/>
      <c r="E59" s="14"/>
      <c r="F59" s="14"/>
      <c r="G59" s="14"/>
      <c r="H59" s="14"/>
      <c r="I59" s="14"/>
      <c r="J59" s="14"/>
      <c r="K59" s="14"/>
      <c r="L59" s="14"/>
      <c r="M59" s="14"/>
      <c r="N59" s="14"/>
      <c r="O59" s="14"/>
      <c r="P59" s="14"/>
      <c r="Q59" s="14"/>
      <c r="R59" s="14"/>
      <c r="S59" s="14"/>
      <c r="T59" s="14"/>
      <c r="U59" s="14"/>
      <c r="V59" s="14"/>
      <c r="W59" s="14"/>
      <c r="X59" s="14"/>
      <c r="Y59" s="14"/>
      <c r="Z59" s="14"/>
      <c r="AA59" s="14"/>
      <c r="AB59" s="14"/>
      <c r="AC59" s="14"/>
      <c r="AD59" s="14"/>
      <c r="AE59" s="14"/>
      <c r="AF59" s="14"/>
      <c r="AG59" s="14"/>
      <c r="AH59" s="14"/>
      <c r="AI59" s="14"/>
      <c r="AJ59" s="14"/>
      <c r="AK59" s="14"/>
      <c r="AL59" s="14"/>
      <c r="AM59" s="14"/>
      <c r="AN59" s="14"/>
      <c r="AO59" s="14"/>
      <c r="AP59" s="14"/>
      <c r="AQ59" s="14"/>
      <c r="AR59" s="14"/>
      <c r="AS59" s="14"/>
      <c r="AT59" s="14"/>
      <c r="AU59" s="14"/>
      <c r="AV59" s="14"/>
      <c r="AW59" s="14"/>
      <c r="AX59" s="14"/>
      <c r="AY59" s="14"/>
      <c r="AZ59" s="14"/>
      <c r="BA59" s="15">
        <f>SUM(C59:AZ59)</f>
        <v>0</v>
      </c>
      <c r="BB59" s="13">
        <f>BA59*B59</f>
        <v>0</v>
      </c>
    </row>
    <row r="60" spans="1:54" ht="14.1" customHeight="1" x14ac:dyDescent="0.25">
      <c r="A60" s="12" t="s">
        <v>106</v>
      </c>
      <c r="B60" s="13">
        <v>157</v>
      </c>
      <c r="C60" s="14"/>
      <c r="D60" s="14"/>
      <c r="E60" s="14"/>
      <c r="F60" s="14"/>
      <c r="G60" s="14"/>
      <c r="H60" s="14"/>
      <c r="I60" s="14"/>
      <c r="J60" s="14"/>
      <c r="K60" s="14"/>
      <c r="L60" s="14"/>
      <c r="M60" s="14"/>
      <c r="N60" s="14"/>
      <c r="O60" s="14"/>
      <c r="P60" s="14"/>
      <c r="Q60" s="14"/>
      <c r="R60" s="14"/>
      <c r="S60" s="14"/>
      <c r="T60" s="14"/>
      <c r="U60" s="14"/>
      <c r="V60" s="14"/>
      <c r="W60" s="14"/>
      <c r="X60" s="14"/>
      <c r="Y60" s="14"/>
      <c r="Z60" s="14"/>
      <c r="AA60" s="14"/>
      <c r="AB60" s="14"/>
      <c r="AC60" s="14"/>
      <c r="AD60" s="14"/>
      <c r="AE60" s="14"/>
      <c r="AF60" s="14"/>
      <c r="AG60" s="14"/>
      <c r="AH60" s="14"/>
      <c r="AI60" s="14"/>
      <c r="AJ60" s="14"/>
      <c r="AK60" s="14"/>
      <c r="AL60" s="14"/>
      <c r="AM60" s="14"/>
      <c r="AN60" s="14"/>
      <c r="AO60" s="14"/>
      <c r="AP60" s="14"/>
      <c r="AQ60" s="14"/>
      <c r="AR60" s="14"/>
      <c r="AS60" s="14"/>
      <c r="AT60" s="14"/>
      <c r="AU60" s="14"/>
      <c r="AV60" s="14"/>
      <c r="AW60" s="14"/>
      <c r="AX60" s="14"/>
      <c r="AY60" s="14"/>
      <c r="AZ60" s="14"/>
      <c r="BA60" s="15">
        <f>SUM(C60:AZ60)</f>
        <v>0</v>
      </c>
      <c r="BB60" s="13">
        <f>BA60*B60</f>
        <v>0</v>
      </c>
    </row>
    <row r="61" spans="1:54" ht="14.1" customHeight="1" x14ac:dyDescent="0.25">
      <c r="A61" s="12" t="s">
        <v>107</v>
      </c>
      <c r="B61" s="13">
        <v>178</v>
      </c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15">
        <f>SUM(C61:AZ61)</f>
        <v>0</v>
      </c>
      <c r="BB61" s="13">
        <f>BA61*B61</f>
        <v>0</v>
      </c>
    </row>
    <row r="62" spans="1:54" ht="14.1" customHeight="1" x14ac:dyDescent="0.25">
      <c r="A62" s="12" t="s">
        <v>109</v>
      </c>
      <c r="B62" s="13">
        <v>117</v>
      </c>
      <c r="C62" s="14"/>
      <c r="D62" s="14"/>
      <c r="E62" s="14"/>
      <c r="F62" s="14"/>
      <c r="G62" s="14"/>
      <c r="H62" s="14"/>
      <c r="I62" s="14"/>
      <c r="J62" s="14"/>
      <c r="K62" s="14"/>
      <c r="L62" s="14"/>
      <c r="M62" s="14"/>
      <c r="N62" s="14"/>
      <c r="O62" s="14"/>
      <c r="P62" s="14"/>
      <c r="Q62" s="14"/>
      <c r="R62" s="14"/>
      <c r="S62" s="14"/>
      <c r="T62" s="14"/>
      <c r="U62" s="14"/>
      <c r="V62" s="14"/>
      <c r="W62" s="14"/>
      <c r="X62" s="14"/>
      <c r="Y62" s="14"/>
      <c r="Z62" s="14"/>
      <c r="AA62" s="14"/>
      <c r="AB62" s="14"/>
      <c r="AC62" s="14"/>
      <c r="AD62" s="14"/>
      <c r="AE62" s="14"/>
      <c r="AF62" s="14"/>
      <c r="AG62" s="14"/>
      <c r="AH62" s="14"/>
      <c r="AI62" s="14"/>
      <c r="AJ62" s="14"/>
      <c r="AK62" s="14"/>
      <c r="AL62" s="14"/>
      <c r="AM62" s="14"/>
      <c r="AN62" s="14"/>
      <c r="AO62" s="14"/>
      <c r="AP62" s="14"/>
      <c r="AQ62" s="14"/>
      <c r="AR62" s="14"/>
      <c r="AS62" s="14"/>
      <c r="AT62" s="14"/>
      <c r="AU62" s="14"/>
      <c r="AV62" s="14"/>
      <c r="AW62" s="14"/>
      <c r="AX62" s="14"/>
      <c r="AY62" s="14"/>
      <c r="AZ62" s="14"/>
      <c r="BA62" s="15">
        <f>SUM(C62:AZ62)</f>
        <v>0</v>
      </c>
      <c r="BB62" s="13">
        <f>BA62*B62</f>
        <v>0</v>
      </c>
    </row>
    <row r="63" spans="1:54" ht="14.1" customHeight="1" x14ac:dyDescent="0.25">
      <c r="A63" s="12" t="s">
        <v>108</v>
      </c>
      <c r="B63" s="13">
        <v>151</v>
      </c>
      <c r="C63" s="14"/>
      <c r="D63" s="14"/>
      <c r="E63" s="14"/>
      <c r="F63" s="14"/>
      <c r="G63" s="14"/>
      <c r="H63" s="14"/>
      <c r="I63" s="14"/>
      <c r="J63" s="14"/>
      <c r="K63" s="14"/>
      <c r="L63" s="14"/>
      <c r="M63" s="14"/>
      <c r="N63" s="14"/>
      <c r="O63" s="14"/>
      <c r="P63" s="14"/>
      <c r="Q63" s="14"/>
      <c r="R63" s="14"/>
      <c r="S63" s="14"/>
      <c r="T63" s="14"/>
      <c r="U63" s="14"/>
      <c r="V63" s="14"/>
      <c r="W63" s="14"/>
      <c r="X63" s="14"/>
      <c r="Y63" s="14"/>
      <c r="Z63" s="14"/>
      <c r="AA63" s="14"/>
      <c r="AB63" s="14"/>
      <c r="AC63" s="14"/>
      <c r="AD63" s="14"/>
      <c r="AE63" s="14"/>
      <c r="AF63" s="14"/>
      <c r="AG63" s="14"/>
      <c r="AH63" s="14"/>
      <c r="AI63" s="14"/>
      <c r="AJ63" s="14"/>
      <c r="AK63" s="14"/>
      <c r="AL63" s="14"/>
      <c r="AM63" s="14"/>
      <c r="AN63" s="14"/>
      <c r="AO63" s="14"/>
      <c r="AP63" s="14"/>
      <c r="AQ63" s="14"/>
      <c r="AR63" s="14"/>
      <c r="AS63" s="14"/>
      <c r="AT63" s="14"/>
      <c r="AU63" s="14"/>
      <c r="AV63" s="14"/>
      <c r="AW63" s="14"/>
      <c r="AX63" s="14"/>
      <c r="AY63" s="14"/>
      <c r="AZ63" s="14"/>
      <c r="BA63" s="15">
        <f>SUM(C63:AZ63)</f>
        <v>0</v>
      </c>
      <c r="BB63" s="13">
        <f>BA63*B63</f>
        <v>0</v>
      </c>
    </row>
    <row r="64" spans="1:54" ht="14.1" customHeight="1" x14ac:dyDescent="0.25">
      <c r="A64" s="12" t="s">
        <v>110</v>
      </c>
      <c r="B64" s="13">
        <v>151</v>
      </c>
      <c r="C64" s="14"/>
      <c r="D64" s="14"/>
      <c r="E64" s="14"/>
      <c r="F64" s="14"/>
      <c r="G64" s="14"/>
      <c r="H64" s="14"/>
      <c r="I64" s="14"/>
      <c r="J64" s="14"/>
      <c r="K64" s="14"/>
      <c r="L64" s="14"/>
      <c r="M64" s="14"/>
      <c r="N64" s="14"/>
      <c r="O64" s="14"/>
      <c r="P64" s="14"/>
      <c r="Q64" s="14"/>
      <c r="R64" s="14"/>
      <c r="S64" s="14"/>
      <c r="T64" s="14"/>
      <c r="U64" s="14"/>
      <c r="V64" s="14"/>
      <c r="W64" s="14"/>
      <c r="X64" s="14"/>
      <c r="Y64" s="14"/>
      <c r="Z64" s="14"/>
      <c r="AA64" s="14"/>
      <c r="AB64" s="14"/>
      <c r="AC64" s="14"/>
      <c r="AD64" s="14"/>
      <c r="AE64" s="14"/>
      <c r="AF64" s="14"/>
      <c r="AG64" s="14"/>
      <c r="AH64" s="14"/>
      <c r="AI64" s="14"/>
      <c r="AJ64" s="14"/>
      <c r="AK64" s="14"/>
      <c r="AL64" s="14"/>
      <c r="AM64" s="14"/>
      <c r="AN64" s="14"/>
      <c r="AO64" s="14"/>
      <c r="AP64" s="14"/>
      <c r="AQ64" s="14"/>
      <c r="AR64" s="14"/>
      <c r="AS64" s="14"/>
      <c r="AT64" s="14"/>
      <c r="AU64" s="14"/>
      <c r="AV64" s="14"/>
      <c r="AW64" s="14"/>
      <c r="AX64" s="14"/>
      <c r="AY64" s="14"/>
      <c r="AZ64" s="14"/>
      <c r="BA64" s="15">
        <f>SUM(C64:AZ64)</f>
        <v>0</v>
      </c>
      <c r="BB64" s="13">
        <f>BA64*B64</f>
        <v>0</v>
      </c>
    </row>
    <row r="65" spans="1:54" x14ac:dyDescent="0.25">
      <c r="A65" s="10" t="s">
        <v>111</v>
      </c>
      <c r="B65" s="11"/>
      <c r="C65" s="11"/>
      <c r="D65" s="11"/>
      <c r="E65" s="11"/>
      <c r="F65" s="11"/>
      <c r="G65" s="11"/>
      <c r="H65" s="11"/>
      <c r="I65" s="11"/>
      <c r="J65" s="11"/>
      <c r="K65" s="11"/>
      <c r="L65" s="11"/>
      <c r="M65" s="11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  <c r="AA65" s="11"/>
      <c r="AB65" s="11"/>
      <c r="AC65" s="11"/>
      <c r="AD65" s="11"/>
      <c r="AE65" s="11"/>
      <c r="AF65" s="11"/>
      <c r="AG65" s="11"/>
      <c r="AH65" s="11"/>
      <c r="AI65" s="11"/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</row>
    <row r="66" spans="1:54" ht="14.1" customHeight="1" x14ac:dyDescent="0.25">
      <c r="A66" s="12" t="s">
        <v>112</v>
      </c>
      <c r="B66" s="13">
        <v>164</v>
      </c>
      <c r="C66" s="14"/>
      <c r="D66" s="14"/>
      <c r="E66" s="14"/>
      <c r="F66" s="14"/>
      <c r="G66" s="14"/>
      <c r="H66" s="14"/>
      <c r="I66" s="14"/>
      <c r="J66" s="14"/>
      <c r="K66" s="14"/>
      <c r="L66" s="14"/>
      <c r="M66" s="14"/>
      <c r="N66" s="14"/>
      <c r="O66" s="14"/>
      <c r="P66" s="14"/>
      <c r="Q66" s="14"/>
      <c r="R66" s="14"/>
      <c r="S66" s="14"/>
      <c r="T66" s="14"/>
      <c r="U66" s="14"/>
      <c r="V66" s="14"/>
      <c r="W66" s="14"/>
      <c r="X66" s="14"/>
      <c r="Y66" s="14"/>
      <c r="Z66" s="14"/>
      <c r="AA66" s="14"/>
      <c r="AB66" s="14"/>
      <c r="AC66" s="14"/>
      <c r="AD66" s="14"/>
      <c r="AE66" s="14"/>
      <c r="AF66" s="14"/>
      <c r="AG66" s="14"/>
      <c r="AH66" s="14"/>
      <c r="AI66" s="14"/>
      <c r="AJ66" s="14"/>
      <c r="AK66" s="14"/>
      <c r="AL66" s="14"/>
      <c r="AM66" s="14"/>
      <c r="AN66" s="14"/>
      <c r="AO66" s="14"/>
      <c r="AP66" s="14"/>
      <c r="AQ66" s="14"/>
      <c r="AR66" s="14"/>
      <c r="AS66" s="14"/>
      <c r="AT66" s="14"/>
      <c r="AU66" s="14"/>
      <c r="AV66" s="14"/>
      <c r="AW66" s="14"/>
      <c r="AX66" s="14"/>
      <c r="AY66" s="14"/>
      <c r="AZ66" s="14"/>
      <c r="BA66" s="15">
        <f>SUM(C66:AZ66)</f>
        <v>0</v>
      </c>
      <c r="BB66" s="13">
        <f>BA66*B66</f>
        <v>0</v>
      </c>
    </row>
    <row r="67" spans="1:54" ht="14.1" customHeight="1" x14ac:dyDescent="0.25">
      <c r="A67" s="12" t="s">
        <v>113</v>
      </c>
      <c r="B67" s="13">
        <v>172</v>
      </c>
      <c r="C67" s="14"/>
      <c r="D67" s="14"/>
      <c r="E67" s="14"/>
      <c r="F67" s="14"/>
      <c r="G67" s="14"/>
      <c r="H67" s="14"/>
      <c r="I67" s="14"/>
      <c r="J67" s="14"/>
      <c r="K67" s="14"/>
      <c r="L67" s="14"/>
      <c r="M67" s="14"/>
      <c r="N67" s="14"/>
      <c r="O67" s="14"/>
      <c r="P67" s="14"/>
      <c r="Q67" s="14"/>
      <c r="R67" s="14"/>
      <c r="S67" s="14"/>
      <c r="T67" s="14"/>
      <c r="U67" s="14"/>
      <c r="V67" s="14"/>
      <c r="W67" s="14"/>
      <c r="X67" s="14"/>
      <c r="Y67" s="14"/>
      <c r="Z67" s="14"/>
      <c r="AA67" s="14"/>
      <c r="AB67" s="14"/>
      <c r="AC67" s="14"/>
      <c r="AD67" s="14"/>
      <c r="AE67" s="14"/>
      <c r="AF67" s="14"/>
      <c r="AG67" s="14"/>
      <c r="AH67" s="14"/>
      <c r="AI67" s="14"/>
      <c r="AJ67" s="14"/>
      <c r="AK67" s="14"/>
      <c r="AL67" s="14"/>
      <c r="AM67" s="14"/>
      <c r="AN67" s="14"/>
      <c r="AO67" s="14"/>
      <c r="AP67" s="14"/>
      <c r="AQ67" s="14"/>
      <c r="AR67" s="14"/>
      <c r="AS67" s="14"/>
      <c r="AT67" s="14"/>
      <c r="AU67" s="14"/>
      <c r="AV67" s="14"/>
      <c r="AW67" s="14"/>
      <c r="AX67" s="14"/>
      <c r="AY67" s="14"/>
      <c r="AZ67" s="14"/>
      <c r="BA67" s="15">
        <f>SUM(C67:AZ67)</f>
        <v>0</v>
      </c>
      <c r="BB67" s="13">
        <f>BA67*B67</f>
        <v>0</v>
      </c>
    </row>
    <row r="68" spans="1:54" ht="14.1" customHeight="1" x14ac:dyDescent="0.25">
      <c r="A68" s="12" t="s">
        <v>114</v>
      </c>
      <c r="B68" s="13">
        <v>187</v>
      </c>
      <c r="C68" s="14"/>
      <c r="D68" s="14"/>
      <c r="E68" s="14"/>
      <c r="F68" s="14"/>
      <c r="G68" s="14"/>
      <c r="H68" s="14"/>
      <c r="I68" s="14"/>
      <c r="J68" s="14"/>
      <c r="K68" s="14"/>
      <c r="L68" s="14"/>
      <c r="M68" s="14"/>
      <c r="N68" s="14"/>
      <c r="O68" s="14"/>
      <c r="P68" s="14"/>
      <c r="Q68" s="14"/>
      <c r="R68" s="14"/>
      <c r="S68" s="14"/>
      <c r="T68" s="14"/>
      <c r="U68" s="14"/>
      <c r="V68" s="14"/>
      <c r="W68" s="14"/>
      <c r="X68" s="14"/>
      <c r="Y68" s="14"/>
      <c r="Z68" s="14"/>
      <c r="AA68" s="14"/>
      <c r="AB68" s="14"/>
      <c r="AC68" s="14"/>
      <c r="AD68" s="14"/>
      <c r="AE68" s="14"/>
      <c r="AF68" s="14"/>
      <c r="AG68" s="14"/>
      <c r="AH68" s="14"/>
      <c r="AI68" s="14"/>
      <c r="AJ68" s="14"/>
      <c r="AK68" s="14"/>
      <c r="AL68" s="14"/>
      <c r="AM68" s="14"/>
      <c r="AN68" s="14"/>
      <c r="AO68" s="14"/>
      <c r="AP68" s="14"/>
      <c r="AQ68" s="14"/>
      <c r="AR68" s="14"/>
      <c r="AS68" s="14"/>
      <c r="AT68" s="14"/>
      <c r="AU68" s="14"/>
      <c r="AV68" s="14"/>
      <c r="AW68" s="14"/>
      <c r="AX68" s="14"/>
      <c r="AY68" s="14"/>
      <c r="AZ68" s="14"/>
      <c r="BA68" s="15">
        <f>SUM(C68:AZ68)</f>
        <v>0</v>
      </c>
      <c r="BB68" s="13">
        <f>BA68*B68</f>
        <v>0</v>
      </c>
    </row>
    <row r="69" spans="1:54" ht="14.1" customHeight="1" x14ac:dyDescent="0.25">
      <c r="A69" s="12" t="s">
        <v>115</v>
      </c>
      <c r="B69" s="13">
        <v>164</v>
      </c>
      <c r="C69" s="14"/>
      <c r="D69" s="14"/>
      <c r="E69" s="14"/>
      <c r="F69" s="14"/>
      <c r="G69" s="14"/>
      <c r="H69" s="14"/>
      <c r="I69" s="14"/>
      <c r="J69" s="14"/>
      <c r="K69" s="14"/>
      <c r="L69" s="14"/>
      <c r="M69" s="14"/>
      <c r="N69" s="14"/>
      <c r="O69" s="14"/>
      <c r="P69" s="14"/>
      <c r="Q69" s="14"/>
      <c r="R69" s="14"/>
      <c r="S69" s="14"/>
      <c r="T69" s="14"/>
      <c r="U69" s="14"/>
      <c r="V69" s="14"/>
      <c r="W69" s="14"/>
      <c r="X69" s="14"/>
      <c r="Y69" s="14"/>
      <c r="Z69" s="14"/>
      <c r="AA69" s="14"/>
      <c r="AB69" s="14"/>
      <c r="AC69" s="14"/>
      <c r="AD69" s="14"/>
      <c r="AE69" s="14"/>
      <c r="AF69" s="14"/>
      <c r="AG69" s="14"/>
      <c r="AH69" s="14"/>
      <c r="AI69" s="14"/>
      <c r="AJ69" s="14"/>
      <c r="AK69" s="14"/>
      <c r="AL69" s="14"/>
      <c r="AM69" s="14"/>
      <c r="AN69" s="14"/>
      <c r="AO69" s="14"/>
      <c r="AP69" s="14"/>
      <c r="AQ69" s="14"/>
      <c r="AR69" s="14"/>
      <c r="AS69" s="14"/>
      <c r="AT69" s="14"/>
      <c r="AU69" s="14"/>
      <c r="AV69" s="14"/>
      <c r="AW69" s="14"/>
      <c r="AX69" s="14"/>
      <c r="AY69" s="14"/>
      <c r="AZ69" s="14"/>
      <c r="BA69" s="15">
        <f>SUM(C69:AZ69)</f>
        <v>0</v>
      </c>
      <c r="BB69" s="13">
        <f>BA69*B69</f>
        <v>0</v>
      </c>
    </row>
    <row r="70" spans="1:54" ht="14.1" customHeight="1" x14ac:dyDescent="0.25">
      <c r="A70" s="12" t="s">
        <v>116</v>
      </c>
      <c r="B70" s="13">
        <v>179</v>
      </c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15">
        <f>SUM(C70:AZ70)</f>
        <v>0</v>
      </c>
      <c r="BB70" s="13">
        <f>BA70*B70</f>
        <v>0</v>
      </c>
    </row>
    <row r="71" spans="1:54" x14ac:dyDescent="0.25">
      <c r="A71" s="10" t="s">
        <v>117</v>
      </c>
      <c r="B71" s="11"/>
      <c r="C71" s="11"/>
      <c r="D71" s="11"/>
      <c r="E71" s="11"/>
      <c r="F71" s="11"/>
      <c r="G71" s="11"/>
      <c r="H71" s="11"/>
      <c r="I71" s="11"/>
      <c r="J71" s="11"/>
      <c r="K71" s="11"/>
      <c r="L71" s="11"/>
      <c r="M71" s="11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  <c r="AA71" s="11"/>
      <c r="AB71" s="11"/>
      <c r="AC71" s="11"/>
      <c r="AD71" s="11"/>
      <c r="AE71" s="11"/>
      <c r="AF71" s="11"/>
      <c r="AG71" s="11"/>
      <c r="AH71" s="11"/>
      <c r="AI71" s="11"/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</row>
    <row r="72" spans="1:54" ht="14.1" customHeight="1" x14ac:dyDescent="0.25">
      <c r="A72" s="12" t="s">
        <v>125</v>
      </c>
      <c r="B72" s="13">
        <v>194</v>
      </c>
      <c r="C72" s="14"/>
      <c r="D72" s="14"/>
      <c r="E72" s="14"/>
      <c r="F72" s="14"/>
      <c r="G72" s="14"/>
      <c r="H72" s="14"/>
      <c r="I72" s="14"/>
      <c r="J72" s="14"/>
      <c r="K72" s="14"/>
      <c r="L72" s="14"/>
      <c r="M72" s="14"/>
      <c r="N72" s="14"/>
      <c r="O72" s="14"/>
      <c r="P72" s="14"/>
      <c r="Q72" s="14"/>
      <c r="R72" s="14"/>
      <c r="S72" s="14"/>
      <c r="T72" s="14"/>
      <c r="U72" s="14"/>
      <c r="V72" s="14"/>
      <c r="W72" s="14"/>
      <c r="X72" s="14"/>
      <c r="Y72" s="14"/>
      <c r="Z72" s="14"/>
      <c r="AA72" s="14"/>
      <c r="AB72" s="14"/>
      <c r="AC72" s="14"/>
      <c r="AD72" s="14"/>
      <c r="AE72" s="14"/>
      <c r="AF72" s="14"/>
      <c r="AG72" s="14"/>
      <c r="AH72" s="14"/>
      <c r="AI72" s="14"/>
      <c r="AJ72" s="14"/>
      <c r="AK72" s="14"/>
      <c r="AL72" s="14"/>
      <c r="AM72" s="14"/>
      <c r="AN72" s="14"/>
      <c r="AO72" s="14"/>
      <c r="AP72" s="14"/>
      <c r="AQ72" s="14"/>
      <c r="AR72" s="14"/>
      <c r="AS72" s="14"/>
      <c r="AT72" s="14"/>
      <c r="AU72" s="14"/>
      <c r="AV72" s="14"/>
      <c r="AW72" s="14"/>
      <c r="AX72" s="14"/>
      <c r="AY72" s="14"/>
      <c r="AZ72" s="14"/>
      <c r="BA72" s="15">
        <f>SUM(C72:AZ72)</f>
        <v>0</v>
      </c>
      <c r="BB72" s="13">
        <f>BA72*B72</f>
        <v>0</v>
      </c>
    </row>
    <row r="73" spans="1:54" ht="14.1" customHeight="1" x14ac:dyDescent="0.25">
      <c r="A73" s="12" t="s">
        <v>126</v>
      </c>
      <c r="B73" s="13">
        <v>164</v>
      </c>
      <c r="C73" s="14"/>
      <c r="D73" s="14"/>
      <c r="E73" s="14"/>
      <c r="F73" s="14"/>
      <c r="G73" s="14"/>
      <c r="H73" s="14"/>
      <c r="I73" s="14"/>
      <c r="J73" s="14"/>
      <c r="K73" s="14"/>
      <c r="L73" s="14"/>
      <c r="M73" s="14"/>
      <c r="N73" s="14"/>
      <c r="O73" s="14"/>
      <c r="P73" s="14"/>
      <c r="Q73" s="14"/>
      <c r="R73" s="14"/>
      <c r="S73" s="14"/>
      <c r="T73" s="14"/>
      <c r="U73" s="14"/>
      <c r="V73" s="14"/>
      <c r="W73" s="14"/>
      <c r="X73" s="14"/>
      <c r="Y73" s="14"/>
      <c r="Z73" s="14"/>
      <c r="AA73" s="14"/>
      <c r="AB73" s="14"/>
      <c r="AC73" s="14"/>
      <c r="AD73" s="14"/>
      <c r="AE73" s="14"/>
      <c r="AF73" s="14"/>
      <c r="AG73" s="14"/>
      <c r="AH73" s="14"/>
      <c r="AI73" s="14"/>
      <c r="AJ73" s="14"/>
      <c r="AK73" s="14"/>
      <c r="AL73" s="14"/>
      <c r="AM73" s="14"/>
      <c r="AN73" s="14"/>
      <c r="AO73" s="14"/>
      <c r="AP73" s="14"/>
      <c r="AQ73" s="14"/>
      <c r="AR73" s="14"/>
      <c r="AS73" s="14"/>
      <c r="AT73" s="14"/>
      <c r="AU73" s="14"/>
      <c r="AV73" s="14"/>
      <c r="AW73" s="14"/>
      <c r="AX73" s="14"/>
      <c r="AY73" s="14"/>
      <c r="AZ73" s="14"/>
      <c r="BA73" s="15">
        <f>SUM(C73:AZ73)</f>
        <v>0</v>
      </c>
      <c r="BB73" s="13">
        <f>BA73*B73</f>
        <v>0</v>
      </c>
    </row>
    <row r="74" spans="1:54" ht="14.1" customHeight="1" x14ac:dyDescent="0.25">
      <c r="A74" s="12" t="s">
        <v>127</v>
      </c>
      <c r="B74" s="13">
        <v>164</v>
      </c>
      <c r="C74" s="14"/>
      <c r="D74" s="14"/>
      <c r="E74" s="14"/>
      <c r="F74" s="14"/>
      <c r="G74" s="14"/>
      <c r="H74" s="14"/>
      <c r="I74" s="14"/>
      <c r="J74" s="14"/>
      <c r="K74" s="14"/>
      <c r="L74" s="14"/>
      <c r="M74" s="14"/>
      <c r="N74" s="14"/>
      <c r="O74" s="14"/>
      <c r="P74" s="14"/>
      <c r="Q74" s="14"/>
      <c r="R74" s="14"/>
      <c r="S74" s="14"/>
      <c r="T74" s="14"/>
      <c r="U74" s="14"/>
      <c r="V74" s="14"/>
      <c r="W74" s="14"/>
      <c r="X74" s="14"/>
      <c r="Y74" s="14"/>
      <c r="Z74" s="14"/>
      <c r="AA74" s="14"/>
      <c r="AB74" s="14"/>
      <c r="AC74" s="14"/>
      <c r="AD74" s="14"/>
      <c r="AE74" s="14"/>
      <c r="AF74" s="14"/>
      <c r="AG74" s="14"/>
      <c r="AH74" s="14"/>
      <c r="AI74" s="14"/>
      <c r="AJ74" s="14"/>
      <c r="AK74" s="14"/>
      <c r="AL74" s="14"/>
      <c r="AM74" s="14"/>
      <c r="AN74" s="14"/>
      <c r="AO74" s="14"/>
      <c r="AP74" s="14"/>
      <c r="AQ74" s="14"/>
      <c r="AR74" s="14"/>
      <c r="AS74" s="14"/>
      <c r="AT74" s="14"/>
      <c r="AU74" s="14"/>
      <c r="AV74" s="14"/>
      <c r="AW74" s="14"/>
      <c r="AX74" s="14"/>
      <c r="AY74" s="14"/>
      <c r="AZ74" s="14"/>
      <c r="BA74" s="15">
        <f>SUM(C74:AZ74)</f>
        <v>0</v>
      </c>
      <c r="BB74" s="13">
        <f>BA74*B74</f>
        <v>0</v>
      </c>
    </row>
    <row r="75" spans="1:54" ht="14.1" customHeight="1" x14ac:dyDescent="0.25">
      <c r="A75" s="12" t="s">
        <v>128</v>
      </c>
      <c r="B75" s="13">
        <v>283</v>
      </c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15">
        <f>SUM(C75:AZ75)</f>
        <v>0</v>
      </c>
      <c r="BB75" s="13">
        <f>BA75*B75</f>
        <v>0</v>
      </c>
    </row>
    <row r="76" spans="1:54" ht="14.1" customHeight="1" x14ac:dyDescent="0.25">
      <c r="A76" s="12" t="s">
        <v>129</v>
      </c>
      <c r="B76" s="13">
        <v>142</v>
      </c>
      <c r="C76" s="14"/>
      <c r="D76" s="14"/>
      <c r="E76" s="14"/>
      <c r="F76" s="14"/>
      <c r="G76" s="14"/>
      <c r="H76" s="14"/>
      <c r="I76" s="14"/>
      <c r="J76" s="14"/>
      <c r="K76" s="14"/>
      <c r="L76" s="14"/>
      <c r="M76" s="14"/>
      <c r="N76" s="14"/>
      <c r="O76" s="14"/>
      <c r="P76" s="14"/>
      <c r="Q76" s="14"/>
      <c r="R76" s="14"/>
      <c r="S76" s="14"/>
      <c r="T76" s="14"/>
      <c r="U76" s="14"/>
      <c r="V76" s="14"/>
      <c r="W76" s="14"/>
      <c r="X76" s="14"/>
      <c r="Y76" s="14"/>
      <c r="Z76" s="14"/>
      <c r="AA76" s="14"/>
      <c r="AB76" s="14"/>
      <c r="AC76" s="14"/>
      <c r="AD76" s="14"/>
      <c r="AE76" s="14"/>
      <c r="AF76" s="14"/>
      <c r="AG76" s="14"/>
      <c r="AH76" s="14"/>
      <c r="AI76" s="14"/>
      <c r="AJ76" s="14"/>
      <c r="AK76" s="14"/>
      <c r="AL76" s="14"/>
      <c r="AM76" s="14"/>
      <c r="AN76" s="14"/>
      <c r="AO76" s="14"/>
      <c r="AP76" s="14"/>
      <c r="AQ76" s="14"/>
      <c r="AR76" s="14"/>
      <c r="AS76" s="14"/>
      <c r="AT76" s="14"/>
      <c r="AU76" s="14"/>
      <c r="AV76" s="14"/>
      <c r="AW76" s="14"/>
      <c r="AX76" s="14"/>
      <c r="AY76" s="14"/>
      <c r="AZ76" s="14"/>
      <c r="BA76" s="15">
        <f>SUM(C76:AZ76)</f>
        <v>0</v>
      </c>
      <c r="BB76" s="13">
        <f>BA76*B76</f>
        <v>0</v>
      </c>
    </row>
    <row r="77" spans="1:54" ht="14.1" customHeight="1" x14ac:dyDescent="0.25">
      <c r="A77" s="12" t="s">
        <v>130</v>
      </c>
      <c r="B77" s="13">
        <v>194</v>
      </c>
      <c r="C77" s="14"/>
      <c r="D77" s="14"/>
      <c r="E77" s="14"/>
      <c r="F77" s="14"/>
      <c r="G77" s="14"/>
      <c r="H77" s="14"/>
      <c r="I77" s="14"/>
      <c r="J77" s="14"/>
      <c r="K77" s="14"/>
      <c r="L77" s="14"/>
      <c r="M77" s="14"/>
      <c r="N77" s="14"/>
      <c r="O77" s="14"/>
      <c r="P77" s="14"/>
      <c r="Q77" s="14"/>
      <c r="R77" s="14"/>
      <c r="S77" s="14"/>
      <c r="T77" s="14"/>
      <c r="U77" s="14"/>
      <c r="V77" s="14"/>
      <c r="W77" s="14"/>
      <c r="X77" s="14"/>
      <c r="Y77" s="14"/>
      <c r="Z77" s="14"/>
      <c r="AA77" s="14"/>
      <c r="AB77" s="14"/>
      <c r="AC77" s="14"/>
      <c r="AD77" s="14"/>
      <c r="AE77" s="14"/>
      <c r="AF77" s="14"/>
      <c r="AG77" s="14"/>
      <c r="AH77" s="14"/>
      <c r="AI77" s="14"/>
      <c r="AJ77" s="14"/>
      <c r="AK77" s="14"/>
      <c r="AL77" s="14"/>
      <c r="AM77" s="14"/>
      <c r="AN77" s="14"/>
      <c r="AO77" s="14"/>
      <c r="AP77" s="14"/>
      <c r="AQ77" s="14"/>
      <c r="AR77" s="14"/>
      <c r="AS77" s="14"/>
      <c r="AT77" s="14"/>
      <c r="AU77" s="14"/>
      <c r="AV77" s="14"/>
      <c r="AW77" s="14"/>
      <c r="AX77" s="14"/>
      <c r="AY77" s="14"/>
      <c r="AZ77" s="14"/>
      <c r="BA77" s="15">
        <f>SUM(C77:AZ77)</f>
        <v>0</v>
      </c>
      <c r="BB77" s="13">
        <f>BA77*B77</f>
        <v>0</v>
      </c>
    </row>
    <row r="78" spans="1:54" ht="14.1" customHeight="1" x14ac:dyDescent="0.25">
      <c r="A78" s="12" t="s">
        <v>132</v>
      </c>
      <c r="B78" s="13">
        <v>164</v>
      </c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15">
        <f>SUM(C78:AZ78)</f>
        <v>0</v>
      </c>
      <c r="BB78" s="13">
        <f>BA78*B78</f>
        <v>0</v>
      </c>
    </row>
    <row r="79" spans="1:54" x14ac:dyDescent="0.25">
      <c r="A79" s="10" t="s">
        <v>136</v>
      </c>
      <c r="B79" s="11"/>
      <c r="C79" s="11"/>
      <c r="D79" s="11"/>
      <c r="E79" s="11"/>
      <c r="F79" s="11"/>
      <c r="G79" s="11"/>
      <c r="H79" s="11"/>
      <c r="I79" s="11"/>
      <c r="J79" s="11"/>
      <c r="K79" s="11"/>
      <c r="L79" s="11"/>
      <c r="M79" s="11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  <c r="AA79" s="11"/>
      <c r="AB79" s="11"/>
      <c r="AC79" s="11"/>
      <c r="AD79" s="11"/>
      <c r="AE79" s="11"/>
      <c r="AF79" s="11"/>
      <c r="AG79" s="11"/>
      <c r="AH79" s="11"/>
      <c r="AI79" s="11"/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</row>
    <row r="80" spans="1:54" ht="14.1" customHeight="1" x14ac:dyDescent="0.25">
      <c r="A80" s="12" t="s">
        <v>137</v>
      </c>
      <c r="B80" s="13">
        <v>72</v>
      </c>
      <c r="C80" s="14"/>
      <c r="D80" s="14"/>
      <c r="E80" s="14"/>
      <c r="F80" s="14"/>
      <c r="G80" s="14"/>
      <c r="H80" s="14"/>
      <c r="I80" s="14"/>
      <c r="J80" s="14"/>
      <c r="K80" s="14"/>
      <c r="L80" s="14"/>
      <c r="M80" s="14"/>
      <c r="N80" s="14"/>
      <c r="O80" s="14"/>
      <c r="P80" s="14"/>
      <c r="Q80" s="14"/>
      <c r="R80" s="14"/>
      <c r="S80" s="14"/>
      <c r="T80" s="14"/>
      <c r="U80" s="14"/>
      <c r="V80" s="14"/>
      <c r="W80" s="14"/>
      <c r="X80" s="14"/>
      <c r="Y80" s="14"/>
      <c r="Z80" s="14"/>
      <c r="AA80" s="14"/>
      <c r="AB80" s="14"/>
      <c r="AC80" s="14"/>
      <c r="AD80" s="14"/>
      <c r="AE80" s="14"/>
      <c r="AF80" s="14"/>
      <c r="AG80" s="14"/>
      <c r="AH80" s="14"/>
      <c r="AI80" s="14"/>
      <c r="AJ80" s="14"/>
      <c r="AK80" s="14"/>
      <c r="AL80" s="14"/>
      <c r="AM80" s="14"/>
      <c r="AN80" s="14"/>
      <c r="AO80" s="14"/>
      <c r="AP80" s="14"/>
      <c r="AQ80" s="14"/>
      <c r="AR80" s="14"/>
      <c r="AS80" s="14"/>
      <c r="AT80" s="14"/>
      <c r="AU80" s="14"/>
      <c r="AV80" s="14"/>
      <c r="AW80" s="14"/>
      <c r="AX80" s="14"/>
      <c r="AY80" s="14"/>
      <c r="AZ80" s="14"/>
      <c r="BA80" s="15">
        <f>SUM(C80:AZ80)</f>
        <v>0</v>
      </c>
      <c r="BB80" s="13">
        <f>BA80*B80</f>
        <v>0</v>
      </c>
    </row>
    <row r="81" spans="1:54" ht="14.1" customHeight="1" x14ac:dyDescent="0.25">
      <c r="A81" s="12" t="s">
        <v>138</v>
      </c>
      <c r="B81" s="13">
        <v>63</v>
      </c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15">
        <f>SUM(C81:AZ81)</f>
        <v>0</v>
      </c>
      <c r="BB81" s="13">
        <f>BA81*B81</f>
        <v>0</v>
      </c>
    </row>
    <row r="82" spans="1:54" ht="14.1" customHeight="1" x14ac:dyDescent="0.25">
      <c r="A82" s="12" t="s">
        <v>139</v>
      </c>
      <c r="B82" s="13">
        <v>86</v>
      </c>
      <c r="C82" s="14"/>
      <c r="D82" s="14"/>
      <c r="E82" s="14"/>
      <c r="F82" s="14"/>
      <c r="G82" s="14"/>
      <c r="H82" s="14"/>
      <c r="I82" s="14"/>
      <c r="J82" s="14"/>
      <c r="K82" s="14"/>
      <c r="L82" s="14"/>
      <c r="M82" s="14"/>
      <c r="N82" s="14"/>
      <c r="O82" s="14"/>
      <c r="P82" s="14"/>
      <c r="Q82" s="14"/>
      <c r="R82" s="14"/>
      <c r="S82" s="14"/>
      <c r="T82" s="14"/>
      <c r="U82" s="14"/>
      <c r="V82" s="14"/>
      <c r="W82" s="14"/>
      <c r="X82" s="14"/>
      <c r="Y82" s="14"/>
      <c r="Z82" s="14"/>
      <c r="AA82" s="14"/>
      <c r="AB82" s="14"/>
      <c r="AC82" s="14"/>
      <c r="AD82" s="14"/>
      <c r="AE82" s="14"/>
      <c r="AF82" s="14"/>
      <c r="AG82" s="14"/>
      <c r="AH82" s="14"/>
      <c r="AI82" s="14"/>
      <c r="AJ82" s="14"/>
      <c r="AK82" s="14"/>
      <c r="AL82" s="14"/>
      <c r="AM82" s="14"/>
      <c r="AN82" s="14"/>
      <c r="AO82" s="14"/>
      <c r="AP82" s="14"/>
      <c r="AQ82" s="14"/>
      <c r="AR82" s="14"/>
      <c r="AS82" s="14"/>
      <c r="AT82" s="14"/>
      <c r="AU82" s="14"/>
      <c r="AV82" s="14"/>
      <c r="AW82" s="14"/>
      <c r="AX82" s="14"/>
      <c r="AY82" s="14"/>
      <c r="AZ82" s="14"/>
      <c r="BA82" s="15">
        <f>SUM(C82:AZ82)</f>
        <v>0</v>
      </c>
      <c r="BB82" s="13">
        <f>BA82*B82</f>
        <v>0</v>
      </c>
    </row>
    <row r="83" spans="1:54" ht="14.1" customHeight="1" x14ac:dyDescent="0.25">
      <c r="A83" s="12" t="s">
        <v>140</v>
      </c>
      <c r="B83" s="13">
        <v>72</v>
      </c>
      <c r="C83" s="14"/>
      <c r="D83" s="14"/>
      <c r="E83" s="14"/>
      <c r="F83" s="14"/>
      <c r="G83" s="14"/>
      <c r="H83" s="14"/>
      <c r="I83" s="14"/>
      <c r="J83" s="14"/>
      <c r="K83" s="14"/>
      <c r="L83" s="14"/>
      <c r="M83" s="14"/>
      <c r="N83" s="14"/>
      <c r="O83" s="14"/>
      <c r="P83" s="14"/>
      <c r="Q83" s="14"/>
      <c r="R83" s="14"/>
      <c r="S83" s="14"/>
      <c r="T83" s="14"/>
      <c r="U83" s="14"/>
      <c r="V83" s="14"/>
      <c r="W83" s="14"/>
      <c r="X83" s="14"/>
      <c r="Y83" s="14"/>
      <c r="Z83" s="14"/>
      <c r="AA83" s="14"/>
      <c r="AB83" s="14"/>
      <c r="AC83" s="14"/>
      <c r="AD83" s="14"/>
      <c r="AE83" s="14"/>
      <c r="AF83" s="14"/>
      <c r="AG83" s="14"/>
      <c r="AH83" s="14"/>
      <c r="AI83" s="14"/>
      <c r="AJ83" s="14"/>
      <c r="AK83" s="14"/>
      <c r="AL83" s="14"/>
      <c r="AM83" s="14"/>
      <c r="AN83" s="14"/>
      <c r="AO83" s="14"/>
      <c r="AP83" s="14"/>
      <c r="AQ83" s="14"/>
      <c r="AR83" s="14"/>
      <c r="AS83" s="14"/>
      <c r="AT83" s="14"/>
      <c r="AU83" s="14"/>
      <c r="AV83" s="14"/>
      <c r="AW83" s="14"/>
      <c r="AX83" s="14"/>
      <c r="AY83" s="14"/>
      <c r="AZ83" s="14"/>
      <c r="BA83" s="15">
        <f>SUM(C83:AZ83)</f>
        <v>0</v>
      </c>
      <c r="BB83" s="13">
        <f>BA83*B83</f>
        <v>0</v>
      </c>
    </row>
    <row r="84" spans="1:54" ht="14.1" customHeight="1" x14ac:dyDescent="0.25">
      <c r="A84" s="12" t="s">
        <v>141</v>
      </c>
      <c r="B84" s="13">
        <v>72</v>
      </c>
      <c r="C84" s="14"/>
      <c r="D84" s="14"/>
      <c r="E84" s="14"/>
      <c r="F84" s="14"/>
      <c r="G84" s="14"/>
      <c r="H84" s="14"/>
      <c r="I84" s="14"/>
      <c r="J84" s="14"/>
      <c r="K84" s="14"/>
      <c r="L84" s="14"/>
      <c r="M84" s="14"/>
      <c r="N84" s="14"/>
      <c r="O84" s="14"/>
      <c r="P84" s="14"/>
      <c r="Q84" s="14"/>
      <c r="R84" s="14"/>
      <c r="S84" s="14"/>
      <c r="T84" s="14"/>
      <c r="U84" s="14"/>
      <c r="V84" s="14"/>
      <c r="W84" s="14"/>
      <c r="X84" s="14"/>
      <c r="Y84" s="14"/>
      <c r="Z84" s="14"/>
      <c r="AA84" s="14"/>
      <c r="AB84" s="14"/>
      <c r="AC84" s="14"/>
      <c r="AD84" s="14"/>
      <c r="AE84" s="14"/>
      <c r="AF84" s="14"/>
      <c r="AG84" s="14"/>
      <c r="AH84" s="14"/>
      <c r="AI84" s="14"/>
      <c r="AJ84" s="14"/>
      <c r="AK84" s="14"/>
      <c r="AL84" s="14"/>
      <c r="AM84" s="14"/>
      <c r="AN84" s="14"/>
      <c r="AO84" s="14"/>
      <c r="AP84" s="14"/>
      <c r="AQ84" s="14"/>
      <c r="AR84" s="14"/>
      <c r="AS84" s="14"/>
      <c r="AT84" s="14"/>
      <c r="AU84" s="14"/>
      <c r="AV84" s="14"/>
      <c r="AW84" s="14"/>
      <c r="AX84" s="14"/>
      <c r="AY84" s="14"/>
      <c r="AZ84" s="14"/>
      <c r="BA84" s="15">
        <f>SUM(C84:AZ84)</f>
        <v>0</v>
      </c>
      <c r="BB84" s="13">
        <f>BA84*B84</f>
        <v>0</v>
      </c>
    </row>
    <row r="85" spans="1:54" ht="14.1" customHeight="1" x14ac:dyDescent="0.25">
      <c r="A85" s="12" t="s">
        <v>142</v>
      </c>
      <c r="B85" s="13">
        <v>76</v>
      </c>
      <c r="C85" s="14"/>
      <c r="D85" s="14"/>
      <c r="E85" s="14"/>
      <c r="F85" s="14"/>
      <c r="G85" s="14"/>
      <c r="H85" s="14"/>
      <c r="I85" s="14"/>
      <c r="J85" s="14"/>
      <c r="K85" s="14"/>
      <c r="L85" s="14"/>
      <c r="M85" s="14"/>
      <c r="N85" s="14"/>
      <c r="O85" s="14"/>
      <c r="P85" s="14"/>
      <c r="Q85" s="14"/>
      <c r="R85" s="14"/>
      <c r="S85" s="14"/>
      <c r="T85" s="14"/>
      <c r="U85" s="14"/>
      <c r="V85" s="14"/>
      <c r="W85" s="14"/>
      <c r="X85" s="14"/>
      <c r="Y85" s="14"/>
      <c r="Z85" s="14"/>
      <c r="AA85" s="14"/>
      <c r="AB85" s="14"/>
      <c r="AC85" s="14"/>
      <c r="AD85" s="14"/>
      <c r="AE85" s="14"/>
      <c r="AF85" s="14"/>
      <c r="AG85" s="14"/>
      <c r="AH85" s="14"/>
      <c r="AI85" s="14"/>
      <c r="AJ85" s="14"/>
      <c r="AK85" s="14"/>
      <c r="AL85" s="14"/>
      <c r="AM85" s="14"/>
      <c r="AN85" s="14"/>
      <c r="AO85" s="14"/>
      <c r="AP85" s="14"/>
      <c r="AQ85" s="14"/>
      <c r="AR85" s="14"/>
      <c r="AS85" s="14"/>
      <c r="AT85" s="14"/>
      <c r="AU85" s="14"/>
      <c r="AV85" s="14"/>
      <c r="AW85" s="14"/>
      <c r="AX85" s="14"/>
      <c r="AY85" s="14"/>
      <c r="AZ85" s="14"/>
      <c r="BA85" s="15">
        <f>SUM(C85:AZ85)</f>
        <v>0</v>
      </c>
      <c r="BB85" s="13">
        <f>BA85*B85</f>
        <v>0</v>
      </c>
    </row>
    <row r="86" spans="1:54" ht="14.1" customHeight="1" x14ac:dyDescent="0.25">
      <c r="A86" s="12" t="s">
        <v>145</v>
      </c>
      <c r="B86" s="13">
        <v>103</v>
      </c>
      <c r="C86" s="14"/>
      <c r="D86" s="14"/>
      <c r="E86" s="14"/>
      <c r="F86" s="14"/>
      <c r="G86" s="14"/>
      <c r="H86" s="14"/>
      <c r="I86" s="14"/>
      <c r="J86" s="14"/>
      <c r="K86" s="14"/>
      <c r="L86" s="14"/>
      <c r="M86" s="14"/>
      <c r="N86" s="14"/>
      <c r="O86" s="14"/>
      <c r="P86" s="14"/>
      <c r="Q86" s="14"/>
      <c r="R86" s="14"/>
      <c r="S86" s="14"/>
      <c r="T86" s="14"/>
      <c r="U86" s="14"/>
      <c r="V86" s="14"/>
      <c r="W86" s="14"/>
      <c r="X86" s="14"/>
      <c r="Y86" s="14"/>
      <c r="Z86" s="14"/>
      <c r="AA86" s="14"/>
      <c r="AB86" s="14"/>
      <c r="AC86" s="14"/>
      <c r="AD86" s="14"/>
      <c r="AE86" s="14"/>
      <c r="AF86" s="14"/>
      <c r="AG86" s="14"/>
      <c r="AH86" s="14"/>
      <c r="AI86" s="14"/>
      <c r="AJ86" s="14"/>
      <c r="AK86" s="14"/>
      <c r="AL86" s="14"/>
      <c r="AM86" s="14"/>
      <c r="AN86" s="14"/>
      <c r="AO86" s="14"/>
      <c r="AP86" s="14"/>
      <c r="AQ86" s="14"/>
      <c r="AR86" s="14"/>
      <c r="AS86" s="14"/>
      <c r="AT86" s="14"/>
      <c r="AU86" s="14"/>
      <c r="AV86" s="14"/>
      <c r="AW86" s="14"/>
      <c r="AX86" s="14"/>
      <c r="AY86" s="14"/>
      <c r="AZ86" s="14"/>
      <c r="BA86" s="15">
        <f>SUM(C86:AZ86)</f>
        <v>0</v>
      </c>
      <c r="BB86" s="13">
        <f>BA86*B86</f>
        <v>0</v>
      </c>
    </row>
    <row r="87" spans="1:54" ht="14.1" customHeight="1" x14ac:dyDescent="0.25">
      <c r="A87" s="12" t="s">
        <v>143</v>
      </c>
      <c r="B87" s="13">
        <v>72</v>
      </c>
      <c r="C87" s="14"/>
      <c r="D87" s="14"/>
      <c r="E87" s="14"/>
      <c r="F87" s="14"/>
      <c r="G87" s="14"/>
      <c r="H87" s="14"/>
      <c r="I87" s="14"/>
      <c r="J87" s="14"/>
      <c r="K87" s="14"/>
      <c r="L87" s="14"/>
      <c r="M87" s="14"/>
      <c r="N87" s="14"/>
      <c r="O87" s="14"/>
      <c r="P87" s="14"/>
      <c r="Q87" s="14"/>
      <c r="R87" s="14"/>
      <c r="S87" s="14"/>
      <c r="T87" s="14"/>
      <c r="U87" s="14"/>
      <c r="V87" s="14"/>
      <c r="W87" s="14"/>
      <c r="X87" s="14"/>
      <c r="Y87" s="14"/>
      <c r="Z87" s="14"/>
      <c r="AA87" s="14"/>
      <c r="AB87" s="14"/>
      <c r="AC87" s="14"/>
      <c r="AD87" s="14"/>
      <c r="AE87" s="14"/>
      <c r="AF87" s="14"/>
      <c r="AG87" s="14"/>
      <c r="AH87" s="14"/>
      <c r="AI87" s="14"/>
      <c r="AJ87" s="14"/>
      <c r="AK87" s="14"/>
      <c r="AL87" s="14"/>
      <c r="AM87" s="14"/>
      <c r="AN87" s="14"/>
      <c r="AO87" s="14"/>
      <c r="AP87" s="14"/>
      <c r="AQ87" s="14"/>
      <c r="AR87" s="14"/>
      <c r="AS87" s="14"/>
      <c r="AT87" s="14"/>
      <c r="AU87" s="14"/>
      <c r="AV87" s="14"/>
      <c r="AW87" s="14"/>
      <c r="AX87" s="14"/>
      <c r="AY87" s="14"/>
      <c r="AZ87" s="14"/>
      <c r="BA87" s="15">
        <f>SUM(C87:AZ87)</f>
        <v>0</v>
      </c>
      <c r="BB87" s="13">
        <f>BA87*B87</f>
        <v>0</v>
      </c>
    </row>
    <row r="88" spans="1:54" ht="14.1" customHeight="1" x14ac:dyDescent="0.25">
      <c r="A88" s="12" t="s">
        <v>144</v>
      </c>
      <c r="B88" s="13">
        <v>72</v>
      </c>
      <c r="C88" s="14"/>
      <c r="D88" s="14"/>
      <c r="E88" s="14"/>
      <c r="F88" s="14"/>
      <c r="G88" s="14"/>
      <c r="H88" s="14"/>
      <c r="I88" s="14"/>
      <c r="J88" s="14"/>
      <c r="K88" s="14"/>
      <c r="L88" s="14"/>
      <c r="M88" s="14"/>
      <c r="N88" s="14"/>
      <c r="O88" s="14"/>
      <c r="P88" s="14"/>
      <c r="Q88" s="14"/>
      <c r="R88" s="14"/>
      <c r="S88" s="14"/>
      <c r="T88" s="14"/>
      <c r="U88" s="14"/>
      <c r="V88" s="14"/>
      <c r="W88" s="14"/>
      <c r="X88" s="14"/>
      <c r="Y88" s="14"/>
      <c r="Z88" s="14"/>
      <c r="AA88" s="14"/>
      <c r="AB88" s="14"/>
      <c r="AC88" s="14"/>
      <c r="AD88" s="14"/>
      <c r="AE88" s="14"/>
      <c r="AF88" s="14"/>
      <c r="AG88" s="14"/>
      <c r="AH88" s="14"/>
      <c r="AI88" s="14"/>
      <c r="AJ88" s="14"/>
      <c r="AK88" s="14"/>
      <c r="AL88" s="14"/>
      <c r="AM88" s="14"/>
      <c r="AN88" s="14"/>
      <c r="AO88" s="14"/>
      <c r="AP88" s="14"/>
      <c r="AQ88" s="14"/>
      <c r="AR88" s="14"/>
      <c r="AS88" s="14"/>
      <c r="AT88" s="14"/>
      <c r="AU88" s="14"/>
      <c r="AV88" s="14"/>
      <c r="AW88" s="14"/>
      <c r="AX88" s="14"/>
      <c r="AY88" s="14"/>
      <c r="AZ88" s="14"/>
      <c r="BA88" s="15">
        <f>SUM(C88:AZ88)</f>
        <v>0</v>
      </c>
      <c r="BB88" s="13">
        <f>BA88*B88</f>
        <v>0</v>
      </c>
    </row>
    <row r="89" spans="1:54" ht="14.1" customHeight="1" x14ac:dyDescent="0.25">
      <c r="A89" s="12" t="s">
        <v>159</v>
      </c>
      <c r="B89" s="13">
        <v>151</v>
      </c>
      <c r="C89" s="14"/>
      <c r="D89" s="14"/>
      <c r="E89" s="14"/>
      <c r="F89" s="14"/>
      <c r="G89" s="14"/>
      <c r="H89" s="14"/>
      <c r="I89" s="14"/>
      <c r="J89" s="14"/>
      <c r="K89" s="14"/>
      <c r="L89" s="14"/>
      <c r="M89" s="14"/>
      <c r="N89" s="14"/>
      <c r="O89" s="14"/>
      <c r="P89" s="14"/>
      <c r="Q89" s="14"/>
      <c r="R89" s="14"/>
      <c r="S89" s="14"/>
      <c r="T89" s="14"/>
      <c r="U89" s="14"/>
      <c r="V89" s="14"/>
      <c r="W89" s="14"/>
      <c r="X89" s="14"/>
      <c r="Y89" s="14"/>
      <c r="Z89" s="14"/>
      <c r="AA89" s="14"/>
      <c r="AB89" s="14"/>
      <c r="AC89" s="14"/>
      <c r="AD89" s="14"/>
      <c r="AE89" s="14"/>
      <c r="AF89" s="14"/>
      <c r="AG89" s="14"/>
      <c r="AH89" s="14"/>
      <c r="AI89" s="14"/>
      <c r="AJ89" s="14"/>
      <c r="AK89" s="14"/>
      <c r="AL89" s="14"/>
      <c r="AM89" s="14"/>
      <c r="AN89" s="14"/>
      <c r="AO89" s="14"/>
      <c r="AP89" s="14"/>
      <c r="AQ89" s="14"/>
      <c r="AR89" s="14"/>
      <c r="AS89" s="14"/>
      <c r="AT89" s="14"/>
      <c r="AU89" s="14"/>
      <c r="AV89" s="14"/>
      <c r="AW89" s="14"/>
      <c r="AX89" s="14"/>
      <c r="AY89" s="14"/>
      <c r="AZ89" s="14"/>
      <c r="BA89" s="15">
        <f>SUM(C89:AZ89)</f>
        <v>0</v>
      </c>
      <c r="BB89" s="13">
        <f>BA89*B89</f>
        <v>0</v>
      </c>
    </row>
    <row r="90" spans="1:54" ht="14.1" customHeight="1" x14ac:dyDescent="0.25">
      <c r="A90" s="12" t="s">
        <v>146</v>
      </c>
      <c r="B90" s="13">
        <v>86</v>
      </c>
      <c r="C90" s="14"/>
      <c r="D90" s="14"/>
      <c r="E90" s="14"/>
      <c r="F90" s="14"/>
      <c r="G90" s="14"/>
      <c r="H90" s="14"/>
      <c r="I90" s="14"/>
      <c r="J90" s="14"/>
      <c r="K90" s="14"/>
      <c r="L90" s="14"/>
      <c r="M90" s="14"/>
      <c r="N90" s="14"/>
      <c r="O90" s="14"/>
      <c r="P90" s="14"/>
      <c r="Q90" s="14"/>
      <c r="R90" s="14"/>
      <c r="S90" s="14"/>
      <c r="T90" s="14"/>
      <c r="U90" s="14"/>
      <c r="V90" s="14"/>
      <c r="W90" s="14"/>
      <c r="X90" s="14"/>
      <c r="Y90" s="14"/>
      <c r="Z90" s="14"/>
      <c r="AA90" s="14"/>
      <c r="AB90" s="14"/>
      <c r="AC90" s="14"/>
      <c r="AD90" s="14"/>
      <c r="AE90" s="14"/>
      <c r="AF90" s="14"/>
      <c r="AG90" s="14"/>
      <c r="AH90" s="14"/>
      <c r="AI90" s="14"/>
      <c r="AJ90" s="14"/>
      <c r="AK90" s="14"/>
      <c r="AL90" s="14"/>
      <c r="AM90" s="14"/>
      <c r="AN90" s="14"/>
      <c r="AO90" s="14"/>
      <c r="AP90" s="14"/>
      <c r="AQ90" s="14"/>
      <c r="AR90" s="14"/>
      <c r="AS90" s="14"/>
      <c r="AT90" s="14"/>
      <c r="AU90" s="14"/>
      <c r="AV90" s="14"/>
      <c r="AW90" s="14"/>
      <c r="AX90" s="14"/>
      <c r="AY90" s="14"/>
      <c r="AZ90" s="14"/>
      <c r="BA90" s="15">
        <f>SUM(C90:AZ90)</f>
        <v>0</v>
      </c>
      <c r="BB90" s="13">
        <f>BA90*B90</f>
        <v>0</v>
      </c>
    </row>
    <row r="91" spans="1:54" ht="14.1" customHeight="1" x14ac:dyDescent="0.25">
      <c r="A91" s="12" t="s">
        <v>147</v>
      </c>
      <c r="B91" s="13">
        <v>137</v>
      </c>
      <c r="C91" s="14"/>
      <c r="D91" s="14"/>
      <c r="E91" s="14"/>
      <c r="F91" s="14"/>
      <c r="G91" s="14"/>
      <c r="H91" s="14"/>
      <c r="I91" s="14"/>
      <c r="J91" s="14"/>
      <c r="K91" s="14"/>
      <c r="L91" s="14"/>
      <c r="M91" s="14"/>
      <c r="N91" s="14"/>
      <c r="O91" s="14"/>
      <c r="P91" s="14"/>
      <c r="Q91" s="14"/>
      <c r="R91" s="14"/>
      <c r="S91" s="14"/>
      <c r="T91" s="14"/>
      <c r="U91" s="14"/>
      <c r="V91" s="14"/>
      <c r="W91" s="14"/>
      <c r="X91" s="14"/>
      <c r="Y91" s="14"/>
      <c r="Z91" s="14"/>
      <c r="AA91" s="14"/>
      <c r="AB91" s="14"/>
      <c r="AC91" s="14"/>
      <c r="AD91" s="14"/>
      <c r="AE91" s="14"/>
      <c r="AF91" s="14"/>
      <c r="AG91" s="14"/>
      <c r="AH91" s="14"/>
      <c r="AI91" s="14"/>
      <c r="AJ91" s="14"/>
      <c r="AK91" s="14"/>
      <c r="AL91" s="14"/>
      <c r="AM91" s="14"/>
      <c r="AN91" s="14"/>
      <c r="AO91" s="14"/>
      <c r="AP91" s="14"/>
      <c r="AQ91" s="14"/>
      <c r="AR91" s="14"/>
      <c r="AS91" s="14"/>
      <c r="AT91" s="14"/>
      <c r="AU91" s="14"/>
      <c r="AV91" s="14"/>
      <c r="AW91" s="14"/>
      <c r="AX91" s="14"/>
      <c r="AY91" s="14"/>
      <c r="AZ91" s="14"/>
      <c r="BA91" s="15">
        <f>SUM(C91:AZ91)</f>
        <v>0</v>
      </c>
      <c r="BB91" s="13">
        <f>BA91*B91</f>
        <v>0</v>
      </c>
    </row>
    <row r="92" spans="1:54" ht="14.1" customHeight="1" x14ac:dyDescent="0.25">
      <c r="A92" s="12" t="s">
        <v>148</v>
      </c>
      <c r="B92" s="13">
        <v>151</v>
      </c>
      <c r="C92" s="14"/>
      <c r="D92" s="14"/>
      <c r="E92" s="14"/>
      <c r="F92" s="14"/>
      <c r="G92" s="14"/>
      <c r="H92" s="14"/>
      <c r="I92" s="14"/>
      <c r="J92" s="14"/>
      <c r="K92" s="14"/>
      <c r="L92" s="14"/>
      <c r="M92" s="14"/>
      <c r="N92" s="14"/>
      <c r="O92" s="14"/>
      <c r="P92" s="14"/>
      <c r="Q92" s="14"/>
      <c r="R92" s="14"/>
      <c r="S92" s="14"/>
      <c r="T92" s="14"/>
      <c r="U92" s="14"/>
      <c r="V92" s="14"/>
      <c r="W92" s="14"/>
      <c r="X92" s="14"/>
      <c r="Y92" s="14"/>
      <c r="Z92" s="14"/>
      <c r="AA92" s="14"/>
      <c r="AB92" s="14"/>
      <c r="AC92" s="14"/>
      <c r="AD92" s="14"/>
      <c r="AE92" s="14"/>
      <c r="AF92" s="14"/>
      <c r="AG92" s="14"/>
      <c r="AH92" s="14"/>
      <c r="AI92" s="14"/>
      <c r="AJ92" s="14"/>
      <c r="AK92" s="14"/>
      <c r="AL92" s="14"/>
      <c r="AM92" s="14"/>
      <c r="AN92" s="14"/>
      <c r="AO92" s="14"/>
      <c r="AP92" s="14"/>
      <c r="AQ92" s="14"/>
      <c r="AR92" s="14"/>
      <c r="AS92" s="14"/>
      <c r="AT92" s="14"/>
      <c r="AU92" s="14"/>
      <c r="AV92" s="14"/>
      <c r="AW92" s="14"/>
      <c r="AX92" s="14"/>
      <c r="AY92" s="14"/>
      <c r="AZ92" s="14"/>
      <c r="BA92" s="15">
        <f>SUM(C92:AZ92)</f>
        <v>0</v>
      </c>
      <c r="BB92" s="13">
        <f>BA92*B92</f>
        <v>0</v>
      </c>
    </row>
    <row r="93" spans="1:54" ht="14.1" customHeight="1" x14ac:dyDescent="0.25">
      <c r="A93" s="12" t="s">
        <v>155</v>
      </c>
      <c r="B93" s="13">
        <v>137</v>
      </c>
      <c r="C93" s="14"/>
      <c r="D93" s="14"/>
      <c r="E93" s="14"/>
      <c r="F93" s="14"/>
      <c r="G93" s="14"/>
      <c r="H93" s="14"/>
      <c r="I93" s="14"/>
      <c r="J93" s="14"/>
      <c r="K93" s="14"/>
      <c r="L93" s="14"/>
      <c r="M93" s="14"/>
      <c r="N93" s="14"/>
      <c r="O93" s="14"/>
      <c r="P93" s="14"/>
      <c r="Q93" s="14"/>
      <c r="R93" s="14"/>
      <c r="S93" s="14"/>
      <c r="T93" s="14"/>
      <c r="U93" s="14"/>
      <c r="V93" s="14"/>
      <c r="W93" s="14"/>
      <c r="X93" s="14"/>
      <c r="Y93" s="14"/>
      <c r="Z93" s="14"/>
      <c r="AA93" s="14"/>
      <c r="AB93" s="14"/>
      <c r="AC93" s="14"/>
      <c r="AD93" s="14"/>
      <c r="AE93" s="14"/>
      <c r="AF93" s="14"/>
      <c r="AG93" s="14"/>
      <c r="AH93" s="14"/>
      <c r="AI93" s="14"/>
      <c r="AJ93" s="14"/>
      <c r="AK93" s="14"/>
      <c r="AL93" s="14"/>
      <c r="AM93" s="14"/>
      <c r="AN93" s="14"/>
      <c r="AO93" s="14"/>
      <c r="AP93" s="14"/>
      <c r="AQ93" s="14"/>
      <c r="AR93" s="14"/>
      <c r="AS93" s="14"/>
      <c r="AT93" s="14"/>
      <c r="AU93" s="14"/>
      <c r="AV93" s="14"/>
      <c r="AW93" s="14"/>
      <c r="AX93" s="14"/>
      <c r="AY93" s="14"/>
      <c r="AZ93" s="14"/>
      <c r="BA93" s="15">
        <f>SUM(C93:AZ93)</f>
        <v>0</v>
      </c>
      <c r="BB93" s="13">
        <f>BA93*B93</f>
        <v>0</v>
      </c>
    </row>
    <row r="94" spans="1:54" x14ac:dyDescent="0.25">
      <c r="A94" s="10" t="s">
        <v>160</v>
      </c>
      <c r="B94" s="11"/>
      <c r="C94" s="11"/>
      <c r="D94" s="11"/>
      <c r="E94" s="11"/>
      <c r="F94" s="11"/>
      <c r="G94" s="11"/>
      <c r="H94" s="11"/>
      <c r="I94" s="11"/>
      <c r="J94" s="11"/>
      <c r="K94" s="11"/>
      <c r="L94" s="11"/>
      <c r="M94" s="11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  <c r="AA94" s="11"/>
      <c r="AB94" s="11"/>
      <c r="AC94" s="11"/>
      <c r="AD94" s="11"/>
      <c r="AE94" s="11"/>
      <c r="AF94" s="11"/>
      <c r="AG94" s="11"/>
      <c r="AH94" s="11"/>
      <c r="AI94" s="11"/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</row>
    <row r="95" spans="1:54" ht="14.1" customHeight="1" x14ac:dyDescent="0.25">
      <c r="A95" s="12" t="s">
        <v>161</v>
      </c>
      <c r="B95" s="13">
        <v>46</v>
      </c>
      <c r="C95" s="14"/>
      <c r="D95" s="14"/>
      <c r="E95" s="14"/>
      <c r="F95" s="14"/>
      <c r="G95" s="14"/>
      <c r="H95" s="14"/>
      <c r="I95" s="14"/>
      <c r="J95" s="14"/>
      <c r="K95" s="14"/>
      <c r="L95" s="14"/>
      <c r="M95" s="14"/>
      <c r="N95" s="14"/>
      <c r="O95" s="14"/>
      <c r="P95" s="14"/>
      <c r="Q95" s="14"/>
      <c r="R95" s="14"/>
      <c r="S95" s="14"/>
      <c r="T95" s="14"/>
      <c r="U95" s="14"/>
      <c r="V95" s="14"/>
      <c r="W95" s="14"/>
      <c r="X95" s="14"/>
      <c r="Y95" s="14"/>
      <c r="Z95" s="14"/>
      <c r="AA95" s="14"/>
      <c r="AB95" s="14"/>
      <c r="AC95" s="14"/>
      <c r="AD95" s="14"/>
      <c r="AE95" s="14"/>
      <c r="AF95" s="14"/>
      <c r="AG95" s="14"/>
      <c r="AH95" s="14"/>
      <c r="AI95" s="14"/>
      <c r="AJ95" s="14"/>
      <c r="AK95" s="14"/>
      <c r="AL95" s="14"/>
      <c r="AM95" s="14"/>
      <c r="AN95" s="14"/>
      <c r="AO95" s="14"/>
      <c r="AP95" s="14"/>
      <c r="AQ95" s="14"/>
      <c r="AR95" s="14"/>
      <c r="AS95" s="14"/>
      <c r="AT95" s="14"/>
      <c r="AU95" s="14"/>
      <c r="AV95" s="14"/>
      <c r="AW95" s="14"/>
      <c r="AX95" s="14"/>
      <c r="AY95" s="14"/>
      <c r="AZ95" s="14"/>
      <c r="BA95" s="15">
        <f>SUM(C95:AZ95)</f>
        <v>0</v>
      </c>
      <c r="BB95" s="13">
        <f>BA95*B95</f>
        <v>0</v>
      </c>
    </row>
    <row r="96" spans="1:54" ht="14.1" customHeight="1" x14ac:dyDescent="0.25">
      <c r="A96" s="12" t="s">
        <v>162</v>
      </c>
      <c r="B96" s="13">
        <v>46</v>
      </c>
      <c r="C96" s="14"/>
      <c r="D96" s="14"/>
      <c r="E96" s="14"/>
      <c r="F96" s="14"/>
      <c r="G96" s="14"/>
      <c r="H96" s="14"/>
      <c r="I96" s="14"/>
      <c r="J96" s="14"/>
      <c r="K96" s="14"/>
      <c r="L96" s="14"/>
      <c r="M96" s="14"/>
      <c r="N96" s="14"/>
      <c r="O96" s="14"/>
      <c r="P96" s="14"/>
      <c r="Q96" s="14"/>
      <c r="R96" s="14"/>
      <c r="S96" s="14"/>
      <c r="T96" s="14"/>
      <c r="U96" s="14"/>
      <c r="V96" s="14"/>
      <c r="W96" s="14"/>
      <c r="X96" s="14"/>
      <c r="Y96" s="14"/>
      <c r="Z96" s="14"/>
      <c r="AA96" s="14"/>
      <c r="AB96" s="14"/>
      <c r="AC96" s="14"/>
      <c r="AD96" s="14"/>
      <c r="AE96" s="14"/>
      <c r="AF96" s="14"/>
      <c r="AG96" s="14"/>
      <c r="AH96" s="14"/>
      <c r="AI96" s="14"/>
      <c r="AJ96" s="14"/>
      <c r="AK96" s="14"/>
      <c r="AL96" s="14"/>
      <c r="AM96" s="14"/>
      <c r="AN96" s="14"/>
      <c r="AO96" s="14"/>
      <c r="AP96" s="14"/>
      <c r="AQ96" s="14"/>
      <c r="AR96" s="14"/>
      <c r="AS96" s="14"/>
      <c r="AT96" s="14"/>
      <c r="AU96" s="14"/>
      <c r="AV96" s="14"/>
      <c r="AW96" s="14"/>
      <c r="AX96" s="14"/>
      <c r="AY96" s="14"/>
      <c r="AZ96" s="14"/>
      <c r="BA96" s="15">
        <f>SUM(C96:AZ96)</f>
        <v>0</v>
      </c>
      <c r="BB96" s="13">
        <f>BA96*B96</f>
        <v>0</v>
      </c>
    </row>
    <row r="97" spans="1:54" ht="14.1" customHeight="1" x14ac:dyDescent="0.25">
      <c r="A97" s="12" t="s">
        <v>166</v>
      </c>
      <c r="B97" s="13">
        <v>97</v>
      </c>
      <c r="C97" s="14"/>
      <c r="D97" s="14"/>
      <c r="E97" s="14"/>
      <c r="F97" s="14"/>
      <c r="G97" s="14"/>
      <c r="H97" s="14"/>
      <c r="I97" s="14"/>
      <c r="J97" s="14"/>
      <c r="K97" s="14"/>
      <c r="L97" s="14"/>
      <c r="M97" s="14"/>
      <c r="N97" s="14"/>
      <c r="O97" s="14"/>
      <c r="P97" s="14"/>
      <c r="Q97" s="14"/>
      <c r="R97" s="14"/>
      <c r="S97" s="14"/>
      <c r="T97" s="14"/>
      <c r="U97" s="14"/>
      <c r="V97" s="14"/>
      <c r="W97" s="14"/>
      <c r="X97" s="14"/>
      <c r="Y97" s="14"/>
      <c r="Z97" s="14"/>
      <c r="AA97" s="14"/>
      <c r="AB97" s="14"/>
      <c r="AC97" s="14"/>
      <c r="AD97" s="14"/>
      <c r="AE97" s="14"/>
      <c r="AF97" s="14"/>
      <c r="AG97" s="14"/>
      <c r="AH97" s="14"/>
      <c r="AI97" s="14"/>
      <c r="AJ97" s="14"/>
      <c r="AK97" s="14"/>
      <c r="AL97" s="14"/>
      <c r="AM97" s="14"/>
      <c r="AN97" s="14"/>
      <c r="AO97" s="14"/>
      <c r="AP97" s="14"/>
      <c r="AQ97" s="14"/>
      <c r="AR97" s="14"/>
      <c r="AS97" s="14"/>
      <c r="AT97" s="14"/>
      <c r="AU97" s="14"/>
      <c r="AV97" s="14"/>
      <c r="AW97" s="14"/>
      <c r="AX97" s="14"/>
      <c r="AY97" s="14"/>
      <c r="AZ97" s="14"/>
      <c r="BA97" s="15">
        <f>SUM(C97:AZ97)</f>
        <v>0</v>
      </c>
      <c r="BB97" s="13">
        <f>BA97*B97</f>
        <v>0</v>
      </c>
    </row>
    <row r="98" spans="1:54" ht="14.1" customHeight="1" x14ac:dyDescent="0.25">
      <c r="A98" s="12" t="s">
        <v>167</v>
      </c>
      <c r="B98" s="13">
        <v>77</v>
      </c>
      <c r="C98" s="14"/>
      <c r="D98" s="14"/>
      <c r="E98" s="14"/>
      <c r="F98" s="14"/>
      <c r="G98" s="14"/>
      <c r="H98" s="14"/>
      <c r="I98" s="14"/>
      <c r="J98" s="14"/>
      <c r="K98" s="14"/>
      <c r="L98" s="14"/>
      <c r="M98" s="14"/>
      <c r="N98" s="14"/>
      <c r="O98" s="14"/>
      <c r="P98" s="14"/>
      <c r="Q98" s="14"/>
      <c r="R98" s="14"/>
      <c r="S98" s="14"/>
      <c r="T98" s="14"/>
      <c r="U98" s="14"/>
      <c r="V98" s="14"/>
      <c r="W98" s="14"/>
      <c r="X98" s="14"/>
      <c r="Y98" s="14"/>
      <c r="Z98" s="14"/>
      <c r="AA98" s="14"/>
      <c r="AB98" s="14"/>
      <c r="AC98" s="14"/>
      <c r="AD98" s="14"/>
      <c r="AE98" s="14"/>
      <c r="AF98" s="14"/>
      <c r="AG98" s="14"/>
      <c r="AH98" s="14"/>
      <c r="AI98" s="14"/>
      <c r="AJ98" s="14"/>
      <c r="AK98" s="14"/>
      <c r="AL98" s="14"/>
      <c r="AM98" s="14"/>
      <c r="AN98" s="14"/>
      <c r="AO98" s="14"/>
      <c r="AP98" s="14"/>
      <c r="AQ98" s="14"/>
      <c r="AR98" s="14"/>
      <c r="AS98" s="14"/>
      <c r="AT98" s="14"/>
      <c r="AU98" s="14"/>
      <c r="AV98" s="14"/>
      <c r="AW98" s="14"/>
      <c r="AX98" s="14"/>
      <c r="AY98" s="14"/>
      <c r="AZ98" s="14"/>
      <c r="BA98" s="15">
        <f>SUM(C98:AZ98)</f>
        <v>0</v>
      </c>
      <c r="BB98" s="13">
        <f>BA98*B98</f>
        <v>0</v>
      </c>
    </row>
    <row r="99" spans="1:54" ht="14.1" customHeight="1" x14ac:dyDescent="0.25">
      <c r="A99" s="12" t="s">
        <v>163</v>
      </c>
      <c r="B99" s="13">
        <v>57</v>
      </c>
      <c r="C99" s="14"/>
      <c r="D99" s="14"/>
      <c r="E99" s="14"/>
      <c r="F99" s="14"/>
      <c r="G99" s="14"/>
      <c r="H99" s="14"/>
      <c r="I99" s="14"/>
      <c r="J99" s="14"/>
      <c r="K99" s="14"/>
      <c r="L99" s="14"/>
      <c r="M99" s="14"/>
      <c r="N99" s="14"/>
      <c r="O99" s="14"/>
      <c r="P99" s="14"/>
      <c r="Q99" s="14"/>
      <c r="R99" s="14"/>
      <c r="S99" s="14"/>
      <c r="T99" s="14"/>
      <c r="U99" s="14"/>
      <c r="V99" s="14"/>
      <c r="W99" s="14"/>
      <c r="X99" s="14"/>
      <c r="Y99" s="14"/>
      <c r="Z99" s="14"/>
      <c r="AA99" s="14"/>
      <c r="AB99" s="14"/>
      <c r="AC99" s="14"/>
      <c r="AD99" s="14"/>
      <c r="AE99" s="14"/>
      <c r="AF99" s="14"/>
      <c r="AG99" s="14"/>
      <c r="AH99" s="14"/>
      <c r="AI99" s="14"/>
      <c r="AJ99" s="14"/>
      <c r="AK99" s="14"/>
      <c r="AL99" s="14"/>
      <c r="AM99" s="14"/>
      <c r="AN99" s="14"/>
      <c r="AO99" s="14"/>
      <c r="AP99" s="14"/>
      <c r="AQ99" s="14"/>
      <c r="AR99" s="14"/>
      <c r="AS99" s="14"/>
      <c r="AT99" s="14"/>
      <c r="AU99" s="14"/>
      <c r="AV99" s="14"/>
      <c r="AW99" s="14"/>
      <c r="AX99" s="14"/>
      <c r="AY99" s="14"/>
      <c r="AZ99" s="14"/>
      <c r="BA99" s="15">
        <f>SUM(C99:AZ99)</f>
        <v>0</v>
      </c>
      <c r="BB99" s="13">
        <f>BA99*B99</f>
        <v>0</v>
      </c>
    </row>
    <row r="100" spans="1:54" ht="14.1" customHeight="1" x14ac:dyDescent="0.25">
      <c r="A100" s="12" t="s">
        <v>164</v>
      </c>
      <c r="B100" s="13">
        <v>57</v>
      </c>
      <c r="C100" s="14"/>
      <c r="D100" s="14"/>
      <c r="E100" s="14"/>
      <c r="F100" s="14"/>
      <c r="G100" s="14"/>
      <c r="H100" s="14"/>
      <c r="I100" s="14"/>
      <c r="J100" s="14"/>
      <c r="K100" s="14"/>
      <c r="L100" s="14"/>
      <c r="M100" s="14"/>
      <c r="N100" s="14"/>
      <c r="O100" s="14"/>
      <c r="P100" s="14"/>
      <c r="Q100" s="14"/>
      <c r="R100" s="14"/>
      <c r="S100" s="14"/>
      <c r="T100" s="14"/>
      <c r="U100" s="14"/>
      <c r="V100" s="14"/>
      <c r="W100" s="14"/>
      <c r="X100" s="14"/>
      <c r="Y100" s="14"/>
      <c r="Z100" s="14"/>
      <c r="AA100" s="14"/>
      <c r="AB100" s="14"/>
      <c r="AC100" s="14"/>
      <c r="AD100" s="14"/>
      <c r="AE100" s="14"/>
      <c r="AF100" s="14"/>
      <c r="AG100" s="14"/>
      <c r="AH100" s="14"/>
      <c r="AI100" s="14"/>
      <c r="AJ100" s="14"/>
      <c r="AK100" s="14"/>
      <c r="AL100" s="14"/>
      <c r="AM100" s="14"/>
      <c r="AN100" s="14"/>
      <c r="AO100" s="14"/>
      <c r="AP100" s="14"/>
      <c r="AQ100" s="14"/>
      <c r="AR100" s="14"/>
      <c r="AS100" s="14"/>
      <c r="AT100" s="14"/>
      <c r="AU100" s="14"/>
      <c r="AV100" s="14"/>
      <c r="AW100" s="14"/>
      <c r="AX100" s="14"/>
      <c r="AY100" s="14"/>
      <c r="AZ100" s="14"/>
      <c r="BA100" s="15">
        <f>SUM(C100:AZ100)</f>
        <v>0</v>
      </c>
      <c r="BB100" s="13">
        <f>BA100*B100</f>
        <v>0</v>
      </c>
    </row>
    <row r="101" spans="1:54" ht="14.1" customHeight="1" x14ac:dyDescent="0.25">
      <c r="A101" s="12" t="s">
        <v>165</v>
      </c>
      <c r="B101" s="13">
        <v>57</v>
      </c>
      <c r="C101" s="14"/>
      <c r="D101" s="14"/>
      <c r="E101" s="14"/>
      <c r="F101" s="14"/>
      <c r="G101" s="14"/>
      <c r="H101" s="14"/>
      <c r="I101" s="14"/>
      <c r="J101" s="14"/>
      <c r="K101" s="14"/>
      <c r="L101" s="14"/>
      <c r="M101" s="14"/>
      <c r="N101" s="14"/>
      <c r="O101" s="14"/>
      <c r="P101" s="14"/>
      <c r="Q101" s="14"/>
      <c r="R101" s="14"/>
      <c r="S101" s="14"/>
      <c r="T101" s="14"/>
      <c r="U101" s="14"/>
      <c r="V101" s="14"/>
      <c r="W101" s="14"/>
      <c r="X101" s="14"/>
      <c r="Y101" s="14"/>
      <c r="Z101" s="14"/>
      <c r="AA101" s="14"/>
      <c r="AB101" s="14"/>
      <c r="AC101" s="14"/>
      <c r="AD101" s="14"/>
      <c r="AE101" s="14"/>
      <c r="AF101" s="14"/>
      <c r="AG101" s="14"/>
      <c r="AH101" s="14"/>
      <c r="AI101" s="14"/>
      <c r="AJ101" s="14"/>
      <c r="AK101" s="14"/>
      <c r="AL101" s="14"/>
      <c r="AM101" s="14"/>
      <c r="AN101" s="14"/>
      <c r="AO101" s="14"/>
      <c r="AP101" s="14"/>
      <c r="AQ101" s="14"/>
      <c r="AR101" s="14"/>
      <c r="AS101" s="14"/>
      <c r="AT101" s="14"/>
      <c r="AU101" s="14"/>
      <c r="AV101" s="14"/>
      <c r="AW101" s="14"/>
      <c r="AX101" s="14"/>
      <c r="AY101" s="14"/>
      <c r="AZ101" s="14"/>
      <c r="BA101" s="15">
        <f>SUM(C101:AZ101)</f>
        <v>0</v>
      </c>
      <c r="BB101" s="13">
        <f>BA101*B101</f>
        <v>0</v>
      </c>
    </row>
    <row r="102" spans="1:54" ht="14.1" customHeight="1" x14ac:dyDescent="0.25">
      <c r="A102" s="12" t="s">
        <v>170</v>
      </c>
      <c r="B102" s="13">
        <v>39</v>
      </c>
      <c r="C102" s="14"/>
      <c r="D102" s="14"/>
      <c r="E102" s="14"/>
      <c r="F102" s="14"/>
      <c r="G102" s="14"/>
      <c r="H102" s="14"/>
      <c r="I102" s="14"/>
      <c r="J102" s="14"/>
      <c r="K102" s="14"/>
      <c r="L102" s="14"/>
      <c r="M102" s="14"/>
      <c r="N102" s="14"/>
      <c r="O102" s="14"/>
      <c r="P102" s="14"/>
      <c r="Q102" s="14"/>
      <c r="R102" s="14"/>
      <c r="S102" s="14"/>
      <c r="T102" s="14"/>
      <c r="U102" s="14"/>
      <c r="V102" s="14"/>
      <c r="W102" s="14"/>
      <c r="X102" s="14"/>
      <c r="Y102" s="14"/>
      <c r="Z102" s="14"/>
      <c r="AA102" s="14"/>
      <c r="AB102" s="14"/>
      <c r="AC102" s="14"/>
      <c r="AD102" s="14"/>
      <c r="AE102" s="14"/>
      <c r="AF102" s="14"/>
      <c r="AG102" s="14"/>
      <c r="AH102" s="14"/>
      <c r="AI102" s="14"/>
      <c r="AJ102" s="14"/>
      <c r="AK102" s="14"/>
      <c r="AL102" s="14"/>
      <c r="AM102" s="14"/>
      <c r="AN102" s="14"/>
      <c r="AO102" s="14"/>
      <c r="AP102" s="14"/>
      <c r="AQ102" s="14"/>
      <c r="AR102" s="14"/>
      <c r="AS102" s="14"/>
      <c r="AT102" s="14"/>
      <c r="AU102" s="14"/>
      <c r="AV102" s="14"/>
      <c r="AW102" s="14"/>
      <c r="AX102" s="14"/>
      <c r="AY102" s="14"/>
      <c r="AZ102" s="14"/>
      <c r="BA102" s="15">
        <f>SUM(C102:AZ102)</f>
        <v>0</v>
      </c>
      <c r="BB102" s="13">
        <f>BA102*B102</f>
        <v>0</v>
      </c>
    </row>
    <row r="103" spans="1:54" ht="14.1" customHeight="1" x14ac:dyDescent="0.25">
      <c r="A103" s="12" t="s">
        <v>169</v>
      </c>
      <c r="B103" s="13">
        <v>39</v>
      </c>
      <c r="C103" s="14"/>
      <c r="D103" s="14"/>
      <c r="E103" s="14"/>
      <c r="F103" s="14"/>
      <c r="G103" s="14"/>
      <c r="H103" s="14"/>
      <c r="I103" s="14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4"/>
      <c r="U103" s="14"/>
      <c r="V103" s="14"/>
      <c r="W103" s="14"/>
      <c r="X103" s="14"/>
      <c r="Y103" s="14"/>
      <c r="Z103" s="14"/>
      <c r="AA103" s="14"/>
      <c r="AB103" s="14"/>
      <c r="AC103" s="14"/>
      <c r="AD103" s="14"/>
      <c r="AE103" s="14"/>
      <c r="AF103" s="14"/>
      <c r="AG103" s="14"/>
      <c r="AH103" s="14"/>
      <c r="AI103" s="14"/>
      <c r="AJ103" s="14"/>
      <c r="AK103" s="14"/>
      <c r="AL103" s="14"/>
      <c r="AM103" s="14"/>
      <c r="AN103" s="14"/>
      <c r="AO103" s="14"/>
      <c r="AP103" s="14"/>
      <c r="AQ103" s="14"/>
      <c r="AR103" s="14"/>
      <c r="AS103" s="14"/>
      <c r="AT103" s="14"/>
      <c r="AU103" s="14"/>
      <c r="AV103" s="14"/>
      <c r="AW103" s="14"/>
      <c r="AX103" s="14"/>
      <c r="AY103" s="14"/>
      <c r="AZ103" s="14"/>
      <c r="BA103" s="15">
        <f>SUM(C103:AZ103)</f>
        <v>0</v>
      </c>
      <c r="BB103" s="13">
        <f>BA103*B103</f>
        <v>0</v>
      </c>
    </row>
    <row r="104" spans="1:54" ht="14.1" customHeight="1" x14ac:dyDescent="0.25">
      <c r="A104" s="12" t="s">
        <v>171</v>
      </c>
      <c r="B104" s="13">
        <v>39</v>
      </c>
      <c r="C104" s="14"/>
      <c r="D104" s="14"/>
      <c r="E104" s="14"/>
      <c r="F104" s="14"/>
      <c r="G104" s="14"/>
      <c r="H104" s="14"/>
      <c r="I104" s="14"/>
      <c r="J104" s="14"/>
      <c r="K104" s="14"/>
      <c r="L104" s="14"/>
      <c r="M104" s="14"/>
      <c r="N104" s="14"/>
      <c r="O104" s="14"/>
      <c r="P104" s="14"/>
      <c r="Q104" s="14"/>
      <c r="R104" s="14"/>
      <c r="S104" s="14"/>
      <c r="T104" s="14"/>
      <c r="U104" s="14"/>
      <c r="V104" s="14"/>
      <c r="W104" s="14"/>
      <c r="X104" s="14"/>
      <c r="Y104" s="14"/>
      <c r="Z104" s="14"/>
      <c r="AA104" s="14"/>
      <c r="AB104" s="14"/>
      <c r="AC104" s="14"/>
      <c r="AD104" s="14"/>
      <c r="AE104" s="14"/>
      <c r="AF104" s="14"/>
      <c r="AG104" s="14"/>
      <c r="AH104" s="14"/>
      <c r="AI104" s="14"/>
      <c r="AJ104" s="14"/>
      <c r="AK104" s="14"/>
      <c r="AL104" s="14"/>
      <c r="AM104" s="14"/>
      <c r="AN104" s="14"/>
      <c r="AO104" s="14"/>
      <c r="AP104" s="14"/>
      <c r="AQ104" s="14"/>
      <c r="AR104" s="14"/>
      <c r="AS104" s="14"/>
      <c r="AT104" s="14"/>
      <c r="AU104" s="14"/>
      <c r="AV104" s="14"/>
      <c r="AW104" s="14"/>
      <c r="AX104" s="14"/>
      <c r="AY104" s="14"/>
      <c r="AZ104" s="14"/>
      <c r="BA104" s="15">
        <f>SUM(C104:AZ104)</f>
        <v>0</v>
      </c>
      <c r="BB104" s="13">
        <f>BA104*B104</f>
        <v>0</v>
      </c>
    </row>
    <row r="105" spans="1:54" ht="14.1" customHeight="1" x14ac:dyDescent="0.25">
      <c r="A105" s="12" t="s">
        <v>172</v>
      </c>
      <c r="B105" s="13">
        <v>39</v>
      </c>
      <c r="C105" s="14"/>
      <c r="D105" s="14"/>
      <c r="E105" s="14"/>
      <c r="F105" s="14"/>
      <c r="G105" s="14"/>
      <c r="H105" s="14"/>
      <c r="I105" s="14"/>
      <c r="J105" s="14"/>
      <c r="K105" s="14"/>
      <c r="L105" s="14"/>
      <c r="M105" s="14"/>
      <c r="N105" s="14"/>
      <c r="O105" s="14"/>
      <c r="P105" s="14"/>
      <c r="Q105" s="14"/>
      <c r="R105" s="14"/>
      <c r="S105" s="14"/>
      <c r="T105" s="14"/>
      <c r="U105" s="14"/>
      <c r="V105" s="14"/>
      <c r="W105" s="14"/>
      <c r="X105" s="14"/>
      <c r="Y105" s="14"/>
      <c r="Z105" s="14"/>
      <c r="AA105" s="14"/>
      <c r="AB105" s="14"/>
      <c r="AC105" s="14"/>
      <c r="AD105" s="14"/>
      <c r="AE105" s="14"/>
      <c r="AF105" s="14"/>
      <c r="AG105" s="14"/>
      <c r="AH105" s="14"/>
      <c r="AI105" s="14"/>
      <c r="AJ105" s="14"/>
      <c r="AK105" s="14"/>
      <c r="AL105" s="14"/>
      <c r="AM105" s="14"/>
      <c r="AN105" s="14"/>
      <c r="AO105" s="14"/>
      <c r="AP105" s="14"/>
      <c r="AQ105" s="14"/>
      <c r="AR105" s="14"/>
      <c r="AS105" s="14"/>
      <c r="AT105" s="14"/>
      <c r="AU105" s="14"/>
      <c r="AV105" s="14"/>
      <c r="AW105" s="14"/>
      <c r="AX105" s="14"/>
      <c r="AY105" s="14"/>
      <c r="AZ105" s="14"/>
      <c r="BA105" s="15">
        <f>SUM(C105:AZ105)</f>
        <v>0</v>
      </c>
      <c r="BB105" s="13">
        <f>BA105*B105</f>
        <v>0</v>
      </c>
    </row>
    <row r="106" spans="1:54" ht="14.1" customHeight="1" x14ac:dyDescent="0.25">
      <c r="A106" s="12" t="s">
        <v>179</v>
      </c>
      <c r="B106" s="13">
        <v>7</v>
      </c>
      <c r="C106" s="14"/>
      <c r="D106" s="14"/>
      <c r="E106" s="14"/>
      <c r="F106" s="14"/>
      <c r="G106" s="14"/>
      <c r="H106" s="14"/>
      <c r="I106" s="14"/>
      <c r="J106" s="14"/>
      <c r="K106" s="14"/>
      <c r="L106" s="14"/>
      <c r="M106" s="14"/>
      <c r="N106" s="14"/>
      <c r="O106" s="14"/>
      <c r="P106" s="14"/>
      <c r="Q106" s="14"/>
      <c r="R106" s="14"/>
      <c r="S106" s="14"/>
      <c r="T106" s="14"/>
      <c r="U106" s="14"/>
      <c r="V106" s="14"/>
      <c r="W106" s="14"/>
      <c r="X106" s="14"/>
      <c r="Y106" s="14"/>
      <c r="Z106" s="14"/>
      <c r="AA106" s="14"/>
      <c r="AB106" s="14"/>
      <c r="AC106" s="14"/>
      <c r="AD106" s="14"/>
      <c r="AE106" s="14"/>
      <c r="AF106" s="14"/>
      <c r="AG106" s="14"/>
      <c r="AH106" s="14"/>
      <c r="AI106" s="14"/>
      <c r="AJ106" s="14"/>
      <c r="AK106" s="14"/>
      <c r="AL106" s="14"/>
      <c r="AM106" s="14"/>
      <c r="AN106" s="14"/>
      <c r="AO106" s="14"/>
      <c r="AP106" s="14"/>
      <c r="AQ106" s="14"/>
      <c r="AR106" s="14"/>
      <c r="AS106" s="14"/>
      <c r="AT106" s="14"/>
      <c r="AU106" s="14"/>
      <c r="AV106" s="14"/>
      <c r="AW106" s="14"/>
      <c r="AX106" s="14"/>
      <c r="AY106" s="14"/>
      <c r="AZ106" s="14"/>
      <c r="BA106" s="15">
        <f>SUM(C106:AZ106)</f>
        <v>0</v>
      </c>
      <c r="BB106" s="13">
        <f>BA106*B106</f>
        <v>0</v>
      </c>
    </row>
    <row r="107" spans="1:54" ht="14.1" customHeight="1" x14ac:dyDescent="0.25">
      <c r="A107" s="12" t="s">
        <v>178</v>
      </c>
      <c r="B107" s="13">
        <v>7</v>
      </c>
      <c r="C107" s="14"/>
      <c r="D107" s="14"/>
      <c r="E107" s="14"/>
      <c r="F107" s="14"/>
      <c r="G107" s="14"/>
      <c r="H107" s="14"/>
      <c r="I107" s="14"/>
      <c r="J107" s="14"/>
      <c r="K107" s="14"/>
      <c r="L107" s="14"/>
      <c r="M107" s="14"/>
      <c r="N107" s="14"/>
      <c r="O107" s="14"/>
      <c r="P107" s="14"/>
      <c r="Q107" s="14"/>
      <c r="R107" s="14"/>
      <c r="S107" s="14"/>
      <c r="T107" s="14"/>
      <c r="U107" s="14"/>
      <c r="V107" s="14"/>
      <c r="W107" s="14"/>
      <c r="X107" s="14"/>
      <c r="Y107" s="14"/>
      <c r="Z107" s="14"/>
      <c r="AA107" s="14"/>
      <c r="AB107" s="14"/>
      <c r="AC107" s="14"/>
      <c r="AD107" s="14"/>
      <c r="AE107" s="14"/>
      <c r="AF107" s="14"/>
      <c r="AG107" s="14"/>
      <c r="AH107" s="14"/>
      <c r="AI107" s="14"/>
      <c r="AJ107" s="14"/>
      <c r="AK107" s="14"/>
      <c r="AL107" s="14"/>
      <c r="AM107" s="14"/>
      <c r="AN107" s="14"/>
      <c r="AO107" s="14"/>
      <c r="AP107" s="14"/>
      <c r="AQ107" s="14"/>
      <c r="AR107" s="14"/>
      <c r="AS107" s="14"/>
      <c r="AT107" s="14"/>
      <c r="AU107" s="14"/>
      <c r="AV107" s="14"/>
      <c r="AW107" s="14"/>
      <c r="AX107" s="14"/>
      <c r="AY107" s="14"/>
      <c r="AZ107" s="14"/>
      <c r="BA107" s="15">
        <f>SUM(C107:AZ107)</f>
        <v>0</v>
      </c>
      <c r="BB107" s="13">
        <f>BA107*B107</f>
        <v>0</v>
      </c>
    </row>
    <row r="108" spans="1:54" ht="14.1" customHeight="1" x14ac:dyDescent="0.25">
      <c r="A108" s="12" t="s">
        <v>176</v>
      </c>
      <c r="B108" s="13">
        <v>4</v>
      </c>
      <c r="C108" s="14"/>
      <c r="D108" s="14"/>
      <c r="E108" s="14"/>
      <c r="F108" s="14"/>
      <c r="G108" s="14"/>
      <c r="H108" s="14"/>
      <c r="I108" s="14"/>
      <c r="J108" s="14"/>
      <c r="K108" s="14"/>
      <c r="L108" s="14"/>
      <c r="M108" s="14"/>
      <c r="N108" s="14"/>
      <c r="O108" s="14"/>
      <c r="P108" s="14"/>
      <c r="Q108" s="14"/>
      <c r="R108" s="14"/>
      <c r="S108" s="14"/>
      <c r="T108" s="14"/>
      <c r="U108" s="14"/>
      <c r="V108" s="14"/>
      <c r="W108" s="14"/>
      <c r="X108" s="14"/>
      <c r="Y108" s="14"/>
      <c r="Z108" s="14"/>
      <c r="AA108" s="14"/>
      <c r="AB108" s="14"/>
      <c r="AC108" s="14"/>
      <c r="AD108" s="14"/>
      <c r="AE108" s="14"/>
      <c r="AF108" s="14"/>
      <c r="AG108" s="14"/>
      <c r="AH108" s="14"/>
      <c r="AI108" s="14"/>
      <c r="AJ108" s="14"/>
      <c r="AK108" s="14"/>
      <c r="AL108" s="14"/>
      <c r="AM108" s="14"/>
      <c r="AN108" s="14"/>
      <c r="AO108" s="14"/>
      <c r="AP108" s="14"/>
      <c r="AQ108" s="14"/>
      <c r="AR108" s="14"/>
      <c r="AS108" s="14"/>
      <c r="AT108" s="14"/>
      <c r="AU108" s="14"/>
      <c r="AV108" s="14"/>
      <c r="AW108" s="14"/>
      <c r="AX108" s="14"/>
      <c r="AY108" s="14"/>
      <c r="AZ108" s="14"/>
      <c r="BA108" s="15">
        <f>SUM(C108:AZ108)</f>
        <v>0</v>
      </c>
      <c r="BB108" s="13">
        <f>BA108*B108</f>
        <v>0</v>
      </c>
    </row>
    <row r="109" spans="1:54" ht="14.1" customHeight="1" x14ac:dyDescent="0.25">
      <c r="A109" s="12" t="s">
        <v>177</v>
      </c>
      <c r="B109" s="13">
        <v>4</v>
      </c>
      <c r="C109" s="14"/>
      <c r="D109" s="14"/>
      <c r="E109" s="14"/>
      <c r="F109" s="14"/>
      <c r="G109" s="14"/>
      <c r="H109" s="14"/>
      <c r="I109" s="14"/>
      <c r="J109" s="14"/>
      <c r="K109" s="14"/>
      <c r="L109" s="14"/>
      <c r="M109" s="14"/>
      <c r="N109" s="14"/>
      <c r="O109" s="14"/>
      <c r="P109" s="14"/>
      <c r="Q109" s="14"/>
      <c r="R109" s="14"/>
      <c r="S109" s="14"/>
      <c r="T109" s="14"/>
      <c r="U109" s="14"/>
      <c r="V109" s="14"/>
      <c r="W109" s="14"/>
      <c r="X109" s="14"/>
      <c r="Y109" s="14"/>
      <c r="Z109" s="14"/>
      <c r="AA109" s="14"/>
      <c r="AB109" s="14"/>
      <c r="AC109" s="14"/>
      <c r="AD109" s="14"/>
      <c r="AE109" s="14"/>
      <c r="AF109" s="14"/>
      <c r="AG109" s="14"/>
      <c r="AH109" s="14"/>
      <c r="AI109" s="14"/>
      <c r="AJ109" s="14"/>
      <c r="AK109" s="14"/>
      <c r="AL109" s="14"/>
      <c r="AM109" s="14"/>
      <c r="AN109" s="14"/>
      <c r="AO109" s="14"/>
      <c r="AP109" s="14"/>
      <c r="AQ109" s="14"/>
      <c r="AR109" s="14"/>
      <c r="AS109" s="14"/>
      <c r="AT109" s="14"/>
      <c r="AU109" s="14"/>
      <c r="AV109" s="14"/>
      <c r="AW109" s="14"/>
      <c r="AX109" s="14"/>
      <c r="AY109" s="14"/>
      <c r="AZ109" s="14"/>
      <c r="BA109" s="15">
        <f>SUM(C109:AZ109)</f>
        <v>0</v>
      </c>
      <c r="BB109" s="13">
        <f>BA109*B109</f>
        <v>0</v>
      </c>
    </row>
    <row r="110" spans="1:54" ht="14.1" customHeight="1" thickBot="1" x14ac:dyDescent="0.3">
      <c r="A110" s="16" t="s">
        <v>180</v>
      </c>
      <c r="B110" s="18"/>
      <c r="C110" s="11"/>
      <c r="D110" s="11"/>
      <c r="E110" s="11"/>
      <c r="F110" s="11"/>
      <c r="G110" s="11"/>
      <c r="H110" s="11"/>
      <c r="I110" s="11"/>
      <c r="J110" s="11"/>
      <c r="K110" s="11"/>
      <c r="L110" s="11"/>
      <c r="M110" s="11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  <c r="AA110" s="11"/>
      <c r="AB110" s="11"/>
      <c r="AC110" s="11"/>
      <c r="AD110" s="11"/>
      <c r="AE110" s="11"/>
      <c r="AF110" s="11"/>
      <c r="AG110" s="11"/>
      <c r="AH110" s="11"/>
      <c r="AI110" s="11"/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</row>
    <row r="111" spans="1:54" ht="14.1" customHeight="1" x14ac:dyDescent="0.25">
      <c r="A111" s="17" t="s">
        <v>181</v>
      </c>
      <c r="B111" s="19">
        <v>296</v>
      </c>
      <c r="C111" s="14"/>
      <c r="D111" s="14"/>
      <c r="E111" s="14"/>
      <c r="F111" s="14"/>
      <c r="G111" s="14"/>
      <c r="H111" s="14"/>
      <c r="I111" s="14"/>
      <c r="J111" s="14"/>
      <c r="K111" s="14"/>
      <c r="L111" s="14"/>
      <c r="M111" s="14"/>
      <c r="N111" s="14"/>
      <c r="O111" s="14"/>
      <c r="P111" s="14"/>
      <c r="Q111" s="14"/>
      <c r="R111" s="14"/>
      <c r="S111" s="14"/>
      <c r="T111" s="14"/>
      <c r="U111" s="14"/>
      <c r="V111" s="14"/>
      <c r="W111" s="14"/>
      <c r="X111" s="14"/>
      <c r="Y111" s="14"/>
      <c r="Z111" s="14"/>
      <c r="AA111" s="14"/>
      <c r="AB111" s="14"/>
      <c r="AC111" s="14"/>
      <c r="AD111" s="14"/>
      <c r="AE111" s="14"/>
      <c r="AF111" s="14"/>
      <c r="AG111" s="14"/>
      <c r="AH111" s="14"/>
      <c r="AI111" s="14"/>
      <c r="AJ111" s="14"/>
      <c r="AK111" s="14"/>
      <c r="AL111" s="14"/>
      <c r="AM111" s="14"/>
      <c r="AN111" s="14"/>
      <c r="AO111" s="14"/>
      <c r="AP111" s="14"/>
      <c r="AQ111" s="14"/>
      <c r="AR111" s="14"/>
      <c r="AS111" s="14"/>
      <c r="AT111" s="14"/>
      <c r="AU111" s="14"/>
      <c r="AV111" s="14"/>
      <c r="AW111" s="14"/>
      <c r="AX111" s="14"/>
      <c r="AY111" s="14"/>
      <c r="AZ111" s="14"/>
      <c r="BA111" s="20">
        <f>SUM(C111:AZ111)</f>
        <v>0</v>
      </c>
      <c r="BB111" s="21">
        <f>BA111*B111</f>
        <v>0</v>
      </c>
    </row>
    <row r="112" spans="1:54" ht="14.1" customHeight="1" x14ac:dyDescent="0.25">
      <c r="A112" s="22" t="s">
        <v>208</v>
      </c>
      <c r="B112" s="23"/>
      <c r="C112" s="26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</row>
    <row r="113" spans="1:54" ht="14.1" customHeight="1" x14ac:dyDescent="0.25">
      <c r="A113" s="24" t="s">
        <v>33</v>
      </c>
      <c r="B113" s="25"/>
      <c r="C113" s="27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</row>
    <row r="114" spans="1:54" ht="14.1" customHeight="1" thickBot="1" x14ac:dyDescent="0.3">
      <c r="A114" s="28" t="s">
        <v>121</v>
      </c>
      <c r="B114" s="29"/>
      <c r="C114" s="27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</row>
    <row r="115" spans="1:54" ht="14.1" customHeight="1" x14ac:dyDescent="0.25">
      <c r="A115" s="17" t="s">
        <v>183</v>
      </c>
      <c r="B115" s="19">
        <v>395</v>
      </c>
      <c r="C115" s="14"/>
      <c r="D115" s="14"/>
      <c r="E115" s="14"/>
      <c r="F115" s="14"/>
      <c r="G115" s="14"/>
      <c r="H115" s="14"/>
      <c r="I115" s="14"/>
      <c r="J115" s="14"/>
      <c r="K115" s="14"/>
      <c r="L115" s="14"/>
      <c r="M115" s="14"/>
      <c r="N115" s="14"/>
      <c r="O115" s="14"/>
      <c r="P115" s="14"/>
      <c r="Q115" s="14"/>
      <c r="R115" s="14"/>
      <c r="S115" s="14"/>
      <c r="T115" s="14"/>
      <c r="U115" s="14"/>
      <c r="V115" s="14"/>
      <c r="W115" s="14"/>
      <c r="X115" s="14"/>
      <c r="Y115" s="14"/>
      <c r="Z115" s="14"/>
      <c r="AA115" s="14"/>
      <c r="AB115" s="14"/>
      <c r="AC115" s="14"/>
      <c r="AD115" s="14"/>
      <c r="AE115" s="14"/>
      <c r="AF115" s="14"/>
      <c r="AG115" s="14"/>
      <c r="AH115" s="14"/>
      <c r="AI115" s="14"/>
      <c r="AJ115" s="14"/>
      <c r="AK115" s="14"/>
      <c r="AL115" s="14"/>
      <c r="AM115" s="14"/>
      <c r="AN115" s="14"/>
      <c r="AO115" s="14"/>
      <c r="AP115" s="14"/>
      <c r="AQ115" s="14"/>
      <c r="AR115" s="14"/>
      <c r="AS115" s="14"/>
      <c r="AT115" s="14"/>
      <c r="AU115" s="14"/>
      <c r="AV115" s="14"/>
      <c r="AW115" s="14"/>
      <c r="AX115" s="14"/>
      <c r="AY115" s="14"/>
      <c r="AZ115" s="14"/>
      <c r="BA115" s="20">
        <f>SUM(C115:AZ115)</f>
        <v>0</v>
      </c>
      <c r="BB115" s="21">
        <f>BA115*B115</f>
        <v>0</v>
      </c>
    </row>
    <row r="116" spans="1:54" ht="14.1" customHeight="1" x14ac:dyDescent="0.25">
      <c r="A116" s="22" t="s">
        <v>193</v>
      </c>
      <c r="B116" s="23"/>
      <c r="C116" s="26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</row>
    <row r="117" spans="1:54" ht="14.1" customHeight="1" x14ac:dyDescent="0.25">
      <c r="A117" s="24" t="s">
        <v>201</v>
      </c>
      <c r="B117" s="25"/>
      <c r="C117" s="27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</row>
    <row r="118" spans="1:54" ht="14.1" customHeight="1" x14ac:dyDescent="0.25">
      <c r="A118" s="24" t="s">
        <v>254</v>
      </c>
      <c r="B118" s="25"/>
      <c r="C118" s="27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</row>
    <row r="119" spans="1:54" ht="14.1" customHeight="1" thickBot="1" x14ac:dyDescent="0.3">
      <c r="A119" s="28" t="s">
        <v>255</v>
      </c>
      <c r="B119" s="29"/>
      <c r="C119" s="27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</row>
    <row r="120" spans="1:54" ht="14.1" customHeight="1" x14ac:dyDescent="0.25">
      <c r="A120" s="17" t="s">
        <v>186</v>
      </c>
      <c r="B120" s="19">
        <v>461</v>
      </c>
      <c r="C120" s="14"/>
      <c r="D120" s="14"/>
      <c r="E120" s="14"/>
      <c r="F120" s="14"/>
      <c r="G120" s="14"/>
      <c r="H120" s="14"/>
      <c r="I120" s="14"/>
      <c r="J120" s="14"/>
      <c r="K120" s="14"/>
      <c r="L120" s="14"/>
      <c r="M120" s="14"/>
      <c r="N120" s="14"/>
      <c r="O120" s="14"/>
      <c r="P120" s="14"/>
      <c r="Q120" s="14"/>
      <c r="R120" s="14"/>
      <c r="S120" s="14"/>
      <c r="T120" s="14"/>
      <c r="U120" s="14"/>
      <c r="V120" s="14"/>
      <c r="W120" s="14"/>
      <c r="X120" s="14"/>
      <c r="Y120" s="14"/>
      <c r="Z120" s="14"/>
      <c r="AA120" s="14"/>
      <c r="AB120" s="14"/>
      <c r="AC120" s="14"/>
      <c r="AD120" s="14"/>
      <c r="AE120" s="14"/>
      <c r="AF120" s="14"/>
      <c r="AG120" s="14"/>
      <c r="AH120" s="14"/>
      <c r="AI120" s="14"/>
      <c r="AJ120" s="14"/>
      <c r="AK120" s="14"/>
      <c r="AL120" s="14"/>
      <c r="AM120" s="14"/>
      <c r="AN120" s="14"/>
      <c r="AO120" s="14"/>
      <c r="AP120" s="14"/>
      <c r="AQ120" s="14"/>
      <c r="AR120" s="14"/>
      <c r="AS120" s="14"/>
      <c r="AT120" s="14"/>
      <c r="AU120" s="14"/>
      <c r="AV120" s="14"/>
      <c r="AW120" s="14"/>
      <c r="AX120" s="14"/>
      <c r="AY120" s="14"/>
      <c r="AZ120" s="14"/>
      <c r="BA120" s="20">
        <f>SUM(C120:AZ120)</f>
        <v>0</v>
      </c>
      <c r="BB120" s="21">
        <f>BA120*B120</f>
        <v>0</v>
      </c>
    </row>
    <row r="121" spans="1:54" ht="14.1" customHeight="1" x14ac:dyDescent="0.25">
      <c r="A121" s="22" t="s">
        <v>193</v>
      </c>
      <c r="B121" s="23"/>
      <c r="C121" s="26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</row>
    <row r="122" spans="1:54" ht="14.1" customHeight="1" x14ac:dyDescent="0.25">
      <c r="A122" s="24" t="s">
        <v>201</v>
      </c>
      <c r="B122" s="25"/>
      <c r="C122" s="27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</row>
    <row r="123" spans="1:54" ht="14.1" customHeight="1" x14ac:dyDescent="0.25">
      <c r="A123" s="24" t="s">
        <v>220</v>
      </c>
      <c r="B123" s="25"/>
      <c r="C123" s="27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</row>
    <row r="124" spans="1:54" ht="14.1" customHeight="1" x14ac:dyDescent="0.25">
      <c r="A124" s="24" t="s">
        <v>254</v>
      </c>
      <c r="B124" s="25"/>
      <c r="C124" s="27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</row>
    <row r="125" spans="1:54" ht="14.1" customHeight="1" thickBot="1" x14ac:dyDescent="0.3">
      <c r="A125" s="28" t="s">
        <v>255</v>
      </c>
      <c r="B125" s="29"/>
      <c r="C125" s="27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</row>
    <row r="126" spans="1:54" ht="14.1" customHeight="1" x14ac:dyDescent="0.25">
      <c r="A126" s="17" t="s">
        <v>188</v>
      </c>
      <c r="B126" s="19">
        <v>432</v>
      </c>
      <c r="C126" s="14"/>
      <c r="D126" s="14"/>
      <c r="E126" s="14"/>
      <c r="F126" s="14"/>
      <c r="G126" s="14"/>
      <c r="H126" s="14"/>
      <c r="I126" s="14"/>
      <c r="J126" s="14"/>
      <c r="K126" s="14"/>
      <c r="L126" s="14"/>
      <c r="M126" s="14"/>
      <c r="N126" s="14"/>
      <c r="O126" s="14"/>
      <c r="P126" s="14"/>
      <c r="Q126" s="14"/>
      <c r="R126" s="14"/>
      <c r="S126" s="14"/>
      <c r="T126" s="14"/>
      <c r="U126" s="14"/>
      <c r="V126" s="14"/>
      <c r="W126" s="14"/>
      <c r="X126" s="14"/>
      <c r="Y126" s="14"/>
      <c r="Z126" s="14"/>
      <c r="AA126" s="14"/>
      <c r="AB126" s="14"/>
      <c r="AC126" s="14"/>
      <c r="AD126" s="14"/>
      <c r="AE126" s="14"/>
      <c r="AF126" s="14"/>
      <c r="AG126" s="14"/>
      <c r="AH126" s="14"/>
      <c r="AI126" s="14"/>
      <c r="AJ126" s="14"/>
      <c r="AK126" s="14"/>
      <c r="AL126" s="14"/>
      <c r="AM126" s="14"/>
      <c r="AN126" s="14"/>
      <c r="AO126" s="14"/>
      <c r="AP126" s="14"/>
      <c r="AQ126" s="14"/>
      <c r="AR126" s="14"/>
      <c r="AS126" s="14"/>
      <c r="AT126" s="14"/>
      <c r="AU126" s="14"/>
      <c r="AV126" s="14"/>
      <c r="AW126" s="14"/>
      <c r="AX126" s="14"/>
      <c r="AY126" s="14"/>
      <c r="AZ126" s="14"/>
      <c r="BA126" s="20">
        <f>SUM(C126:AZ126)</f>
        <v>0</v>
      </c>
      <c r="BB126" s="21">
        <f>BA126*B126</f>
        <v>0</v>
      </c>
    </row>
    <row r="127" spans="1:54" ht="14.1" customHeight="1" x14ac:dyDescent="0.25">
      <c r="A127" s="22" t="s">
        <v>252</v>
      </c>
      <c r="B127" s="23"/>
      <c r="C127" s="26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</row>
    <row r="128" spans="1:54" ht="14.1" customHeight="1" x14ac:dyDescent="0.25">
      <c r="A128" s="24" t="s">
        <v>253</v>
      </c>
      <c r="B128" s="25"/>
      <c r="C128" s="27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</row>
    <row r="129" spans="1:54" ht="14.1" customHeight="1" thickBot="1" x14ac:dyDescent="0.3">
      <c r="A129" s="28" t="s">
        <v>53</v>
      </c>
      <c r="B129" s="29"/>
      <c r="C129" s="27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</row>
    <row r="130" spans="1:54" ht="14.1" customHeight="1" x14ac:dyDescent="0.25">
      <c r="A130" s="17" t="s">
        <v>191</v>
      </c>
      <c r="B130" s="19">
        <v>361</v>
      </c>
      <c r="C130" s="14"/>
      <c r="D130" s="14"/>
      <c r="E130" s="14"/>
      <c r="F130" s="14"/>
      <c r="G130" s="14"/>
      <c r="H130" s="14"/>
      <c r="I130" s="14"/>
      <c r="J130" s="14"/>
      <c r="K130" s="14"/>
      <c r="L130" s="14"/>
      <c r="M130" s="14"/>
      <c r="N130" s="14"/>
      <c r="O130" s="14"/>
      <c r="P130" s="14"/>
      <c r="Q130" s="14"/>
      <c r="R130" s="14"/>
      <c r="S130" s="14"/>
      <c r="T130" s="14"/>
      <c r="U130" s="14"/>
      <c r="V130" s="14"/>
      <c r="W130" s="14"/>
      <c r="X130" s="14"/>
      <c r="Y130" s="14"/>
      <c r="Z130" s="14"/>
      <c r="AA130" s="14"/>
      <c r="AB130" s="14"/>
      <c r="AC130" s="14"/>
      <c r="AD130" s="14"/>
      <c r="AE130" s="14"/>
      <c r="AF130" s="14"/>
      <c r="AG130" s="14"/>
      <c r="AH130" s="14"/>
      <c r="AI130" s="14"/>
      <c r="AJ130" s="14"/>
      <c r="AK130" s="14"/>
      <c r="AL130" s="14"/>
      <c r="AM130" s="14"/>
      <c r="AN130" s="14"/>
      <c r="AO130" s="14"/>
      <c r="AP130" s="14"/>
      <c r="AQ130" s="14"/>
      <c r="AR130" s="14"/>
      <c r="AS130" s="14"/>
      <c r="AT130" s="14"/>
      <c r="AU130" s="14"/>
      <c r="AV130" s="14"/>
      <c r="AW130" s="14"/>
      <c r="AX130" s="14"/>
      <c r="AY130" s="14"/>
      <c r="AZ130" s="14"/>
      <c r="BA130" s="20">
        <f>SUM(C130:AZ130)</f>
        <v>0</v>
      </c>
      <c r="BB130" s="21">
        <f>BA130*B130</f>
        <v>0</v>
      </c>
    </row>
    <row r="131" spans="1:54" ht="14.1" customHeight="1" x14ac:dyDescent="0.25">
      <c r="A131" s="22" t="s">
        <v>192</v>
      </c>
      <c r="B131" s="23"/>
      <c r="C131" s="26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</row>
    <row r="132" spans="1:54" ht="14.1" customHeight="1" x14ac:dyDescent="0.25">
      <c r="A132" s="24" t="s">
        <v>245</v>
      </c>
      <c r="B132" s="25"/>
      <c r="C132" s="27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</row>
    <row r="133" spans="1:54" ht="14.1" customHeight="1" thickBot="1" x14ac:dyDescent="0.3">
      <c r="A133" s="28" t="s">
        <v>252</v>
      </c>
      <c r="B133" s="29"/>
      <c r="C133" s="27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</row>
    <row r="134" spans="1:54" ht="14.1" customHeight="1" x14ac:dyDescent="0.25">
      <c r="A134" s="17" t="s">
        <v>194</v>
      </c>
      <c r="B134" s="19">
        <v>276</v>
      </c>
      <c r="C134" s="14"/>
      <c r="D134" s="14"/>
      <c r="E134" s="14"/>
      <c r="F134" s="14"/>
      <c r="G134" s="14"/>
      <c r="H134" s="14"/>
      <c r="I134" s="14"/>
      <c r="J134" s="14"/>
      <c r="K134" s="14"/>
      <c r="L134" s="14"/>
      <c r="M134" s="14"/>
      <c r="N134" s="14"/>
      <c r="O134" s="14"/>
      <c r="P134" s="14"/>
      <c r="Q134" s="14"/>
      <c r="R134" s="14"/>
      <c r="S134" s="14"/>
      <c r="T134" s="14"/>
      <c r="U134" s="14"/>
      <c r="V134" s="14"/>
      <c r="W134" s="14"/>
      <c r="X134" s="14"/>
      <c r="Y134" s="14"/>
      <c r="Z134" s="14"/>
      <c r="AA134" s="14"/>
      <c r="AB134" s="14"/>
      <c r="AC134" s="14"/>
      <c r="AD134" s="14"/>
      <c r="AE134" s="14"/>
      <c r="AF134" s="14"/>
      <c r="AG134" s="14"/>
      <c r="AH134" s="14"/>
      <c r="AI134" s="14"/>
      <c r="AJ134" s="14"/>
      <c r="AK134" s="14"/>
      <c r="AL134" s="14"/>
      <c r="AM134" s="14"/>
      <c r="AN134" s="14"/>
      <c r="AO134" s="14"/>
      <c r="AP134" s="14"/>
      <c r="AQ134" s="14"/>
      <c r="AR134" s="14"/>
      <c r="AS134" s="14"/>
      <c r="AT134" s="14"/>
      <c r="AU134" s="14"/>
      <c r="AV134" s="14"/>
      <c r="AW134" s="14"/>
      <c r="AX134" s="14"/>
      <c r="AY134" s="14"/>
      <c r="AZ134" s="14"/>
      <c r="BA134" s="20">
        <f>SUM(C134:AZ134)</f>
        <v>0</v>
      </c>
      <c r="BB134" s="21">
        <f>BA134*B134</f>
        <v>0</v>
      </c>
    </row>
    <row r="135" spans="1:54" ht="14.1" customHeight="1" x14ac:dyDescent="0.25">
      <c r="A135" s="22" t="s">
        <v>231</v>
      </c>
      <c r="B135" s="23"/>
      <c r="C135" s="26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</row>
    <row r="136" spans="1:54" ht="14.1" customHeight="1" thickBot="1" x14ac:dyDescent="0.3">
      <c r="A136" s="28" t="s">
        <v>251</v>
      </c>
      <c r="B136" s="29"/>
      <c r="C136" s="27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</row>
    <row r="137" spans="1:54" ht="14.1" customHeight="1" x14ac:dyDescent="0.25">
      <c r="A137" s="17" t="s">
        <v>195</v>
      </c>
      <c r="B137" s="19">
        <v>300</v>
      </c>
      <c r="C137" s="14"/>
      <c r="D137" s="14"/>
      <c r="E137" s="14"/>
      <c r="F137" s="14"/>
      <c r="G137" s="14"/>
      <c r="H137" s="14"/>
      <c r="I137" s="14"/>
      <c r="J137" s="14"/>
      <c r="K137" s="14"/>
      <c r="L137" s="14"/>
      <c r="M137" s="14"/>
      <c r="N137" s="14"/>
      <c r="O137" s="14"/>
      <c r="P137" s="14"/>
      <c r="Q137" s="14"/>
      <c r="R137" s="14"/>
      <c r="S137" s="14"/>
      <c r="T137" s="14"/>
      <c r="U137" s="14"/>
      <c r="V137" s="14"/>
      <c r="W137" s="14"/>
      <c r="X137" s="14"/>
      <c r="Y137" s="14"/>
      <c r="Z137" s="14"/>
      <c r="AA137" s="14"/>
      <c r="AB137" s="14"/>
      <c r="AC137" s="14"/>
      <c r="AD137" s="14"/>
      <c r="AE137" s="14"/>
      <c r="AF137" s="14"/>
      <c r="AG137" s="14"/>
      <c r="AH137" s="14"/>
      <c r="AI137" s="14"/>
      <c r="AJ137" s="14"/>
      <c r="AK137" s="14"/>
      <c r="AL137" s="14"/>
      <c r="AM137" s="14"/>
      <c r="AN137" s="14"/>
      <c r="AO137" s="14"/>
      <c r="AP137" s="14"/>
      <c r="AQ137" s="14"/>
      <c r="AR137" s="14"/>
      <c r="AS137" s="14"/>
      <c r="AT137" s="14"/>
      <c r="AU137" s="14"/>
      <c r="AV137" s="14"/>
      <c r="AW137" s="14"/>
      <c r="AX137" s="14"/>
      <c r="AY137" s="14"/>
      <c r="AZ137" s="14"/>
      <c r="BA137" s="20">
        <f>SUM(C137:AZ137)</f>
        <v>0</v>
      </c>
      <c r="BB137" s="21">
        <f>BA137*B137</f>
        <v>0</v>
      </c>
    </row>
    <row r="138" spans="1:54" ht="14.1" customHeight="1" x14ac:dyDescent="0.25">
      <c r="A138" s="22" t="s">
        <v>243</v>
      </c>
      <c r="B138" s="23"/>
      <c r="C138" s="26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</row>
    <row r="139" spans="1:54" ht="14.1" customHeight="1" thickBot="1" x14ac:dyDescent="0.3">
      <c r="A139" s="28" t="s">
        <v>254</v>
      </c>
      <c r="B139" s="29"/>
      <c r="C139" s="27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</row>
    <row r="140" spans="1:54" x14ac:dyDescent="0.25">
      <c r="A140" s="30"/>
      <c r="B140" s="30"/>
      <c r="C140" s="15">
        <f>SUMPRODUCT(C9:C137,$B$9:$B$137)</f>
        <v>0</v>
      </c>
      <c r="D140" s="15">
        <f>SUMPRODUCT(D9:D137,$B$9:$B$137)</f>
        <v>0</v>
      </c>
      <c r="E140" s="15">
        <f>SUMPRODUCT(E9:E137,$B$9:$B$137)</f>
        <v>0</v>
      </c>
      <c r="F140" s="15">
        <f>SUMPRODUCT(F9:F137,$B$9:$B$137)</f>
        <v>0</v>
      </c>
      <c r="G140" s="15">
        <f>SUMPRODUCT(G9:G137,$B$9:$B$137)</f>
        <v>0</v>
      </c>
      <c r="H140" s="15">
        <f>SUMPRODUCT(H9:H137,$B$9:$B$137)</f>
        <v>0</v>
      </c>
      <c r="I140" s="15">
        <f>SUMPRODUCT(I9:I137,$B$9:$B$137)</f>
        <v>0</v>
      </c>
      <c r="J140" s="15">
        <f>SUMPRODUCT(J9:J137,$B$9:$B$137)</f>
        <v>0</v>
      </c>
      <c r="K140" s="15">
        <f>SUMPRODUCT(K9:K137,$B$9:$B$137)</f>
        <v>0</v>
      </c>
      <c r="L140" s="15">
        <f>SUMPRODUCT(L9:L137,$B$9:$B$137)</f>
        <v>0</v>
      </c>
      <c r="M140" s="15">
        <f>SUMPRODUCT(M9:M137,$B$9:$B$137)</f>
        <v>0</v>
      </c>
      <c r="N140" s="15">
        <f>SUMPRODUCT(N9:N137,$B$9:$B$137)</f>
        <v>0</v>
      </c>
      <c r="O140" s="15">
        <f>SUMPRODUCT(O9:O137,$B$9:$B$137)</f>
        <v>0</v>
      </c>
      <c r="P140" s="15">
        <f>SUMPRODUCT(P9:P137,$B$9:$B$137)</f>
        <v>0</v>
      </c>
      <c r="Q140" s="15">
        <f>SUMPRODUCT(Q9:Q137,$B$9:$B$137)</f>
        <v>0</v>
      </c>
      <c r="R140" s="15">
        <f>SUMPRODUCT(R9:R137,$B$9:$B$137)</f>
        <v>0</v>
      </c>
      <c r="S140" s="15">
        <f>SUMPRODUCT(S9:S137,$B$9:$B$137)</f>
        <v>0</v>
      </c>
      <c r="T140" s="15">
        <f>SUMPRODUCT(T9:T137,$B$9:$B$137)</f>
        <v>0</v>
      </c>
      <c r="U140" s="15">
        <f>SUMPRODUCT(U9:U137,$B$9:$B$137)</f>
        <v>0</v>
      </c>
      <c r="V140" s="15">
        <f>SUMPRODUCT(V9:V137,$B$9:$B$137)</f>
        <v>0</v>
      </c>
      <c r="W140" s="15">
        <f>SUMPRODUCT(W9:W137,$B$9:$B$137)</f>
        <v>0</v>
      </c>
      <c r="X140" s="15">
        <f>SUMPRODUCT(X9:X137,$B$9:$B$137)</f>
        <v>0</v>
      </c>
      <c r="Y140" s="15">
        <f>SUMPRODUCT(Y9:Y137,$B$9:$B$137)</f>
        <v>0</v>
      </c>
      <c r="Z140" s="15">
        <f>SUMPRODUCT(Z9:Z137,$B$9:$B$137)</f>
        <v>0</v>
      </c>
      <c r="AA140" s="15">
        <f>SUMPRODUCT(AA9:AA137,$B$9:$B$137)</f>
        <v>0</v>
      </c>
      <c r="AB140" s="15">
        <f>SUMPRODUCT(AB9:AB137,$B$9:$B$137)</f>
        <v>0</v>
      </c>
      <c r="AC140" s="15">
        <f>SUMPRODUCT(AC9:AC137,$B$9:$B$137)</f>
        <v>0</v>
      </c>
      <c r="AD140" s="15">
        <f>SUMPRODUCT(AD9:AD137,$B$9:$B$137)</f>
        <v>0</v>
      </c>
      <c r="AE140" s="15">
        <f>SUMPRODUCT(AE9:AE137,$B$9:$B$137)</f>
        <v>0</v>
      </c>
      <c r="AF140" s="15">
        <f>SUMPRODUCT(AF9:AF137,$B$9:$B$137)</f>
        <v>0</v>
      </c>
      <c r="AG140" s="15">
        <f>SUMPRODUCT(AG9:AG137,$B$9:$B$137)</f>
        <v>0</v>
      </c>
      <c r="AH140" s="15">
        <f>SUMPRODUCT(AH9:AH137,$B$9:$B$137)</f>
        <v>0</v>
      </c>
      <c r="AI140" s="15">
        <f>SUMPRODUCT(AI9:AI137,$B$9:$B$137)</f>
        <v>0</v>
      </c>
      <c r="AJ140" s="15">
        <f>SUMPRODUCT(AJ9:AJ137,$B$9:$B$137)</f>
        <v>0</v>
      </c>
      <c r="AK140" s="15">
        <f>SUMPRODUCT(AK9:AK137,$B$9:$B$137)</f>
        <v>0</v>
      </c>
      <c r="AL140" s="15">
        <f>SUMPRODUCT(AL9:AL137,$B$9:$B$137)</f>
        <v>0</v>
      </c>
      <c r="AM140" s="15">
        <f>SUMPRODUCT(AM9:AM137,$B$9:$B$137)</f>
        <v>0</v>
      </c>
      <c r="AN140" s="15">
        <f>SUMPRODUCT(AN9:AN137,$B$9:$B$137)</f>
        <v>0</v>
      </c>
      <c r="AO140" s="15">
        <f>SUMPRODUCT(AO9:AO137,$B$9:$B$137)</f>
        <v>0</v>
      </c>
      <c r="AP140" s="15">
        <f>SUMPRODUCT(AP9:AP137,$B$9:$B$137)</f>
        <v>0</v>
      </c>
      <c r="AQ140" s="15">
        <f>SUMPRODUCT(AQ9:AQ137,$B$9:$B$137)</f>
        <v>0</v>
      </c>
      <c r="AR140" s="15">
        <f>SUMPRODUCT(AR9:AR137,$B$9:$B$137)</f>
        <v>0</v>
      </c>
      <c r="AS140" s="15">
        <f>SUMPRODUCT(AS9:AS137,$B$9:$B$137)</f>
        <v>0</v>
      </c>
      <c r="AT140" s="15">
        <f>SUMPRODUCT(AT9:AT137,$B$9:$B$137)</f>
        <v>0</v>
      </c>
      <c r="AU140" s="15">
        <f>SUMPRODUCT(AU9:AU137,$B$9:$B$137)</f>
        <v>0</v>
      </c>
      <c r="AV140" s="15">
        <f>SUMPRODUCT(AV9:AV137,$B$9:$B$137)</f>
        <v>0</v>
      </c>
      <c r="AW140" s="15">
        <f>SUMPRODUCT(AW9:AW137,$B$9:$B$137)</f>
        <v>0</v>
      </c>
      <c r="AX140" s="15">
        <f>SUMPRODUCT(AX9:AX137,$B$9:$B$137)</f>
        <v>0</v>
      </c>
      <c r="AY140" s="15">
        <f>SUMPRODUCT(AY9:AY137,$B$9:$B$137)</f>
        <v>0</v>
      </c>
      <c r="AZ140" s="15">
        <f>SUMPRODUCT(AZ9:AZ137,$B$9:$B$137)</f>
        <v>0</v>
      </c>
      <c r="BA140" s="15">
        <f>$BA$10+$BA$11+$BA$12+$BA$13+$BA$14+$BA$15+$BA$16+$BA$17+$BA$18+$BA$19+$BA$20+$BA$21+$BA$23+$BA$24+$BA$25+$BA$26+$BA$27+$BA$29+$BA$30+$BA$32+$BA$33+$BA$34+$BA$35+$BA$36+$BA$37+$BA$38+$BA$39+$BA$40+$BA$41+$BA$42+$BA$43+$BA$44+$BA$45+$BA$46+$BA$47+$BA$48+$BA$49+$BA$50+$BA$51+$BA$52+$BA$54+$BA$55+$BA$56+$BA$58+$BA$59+$BA$60+$BA$61+$BA$62+$BA$63+$BA$64+$BA$66+$BA$67+$BA$68+$BA$69+$BA$70+$BA$72+$BA$73+$BA$74+$BA$75+$BA$76+$BA$77+$BA$78+$BA$80+$BA$81+$BA$82+$BA$83+$BA$84+$BA$85+$BA$86+$BA$87+$BA$88+$BA$89+$BA$90+$BA$91+$BA$92+$BA$93+$BA$95+$BA$96+$BA$97+$BA$98+$BA$99+$BA$100+$BA$101+$BA$102+$BA$103+$BA$104+$BA$105+$BA$106+$BA$107+$BA$108+$BA$109+$BA$111+$BA$115+$BA$120+$BA$126+$BA$130+$BA$134+$BA$137</f>
        <v>0</v>
      </c>
      <c r="BB140" s="13">
        <f>$BB$10+$BB$11+$BB$12+$BB$13+$BB$14+$BB$15+$BB$16+$BB$17+$BB$18+$BB$19+$BB$20+$BB$21+$BB$23+$BB$24+$BB$25+$BB$26+$BB$27+$BB$29+$BB$30+$BB$32+$BB$33+$BB$34+$BB$35+$BB$36+$BB$37+$BB$38+$BB$39+$BB$40+$BB$41+$BB$42+$BB$43+$BB$44+$BB$45+$BB$46+$BB$47+$BB$48+$BB$49+$BB$50+$BB$51+$BB$52+$BB$54+$BB$55+$BB$56+$BB$58+$BB$59+$BB$60+$BB$61+$BB$62+$BB$63+$BB$64+$BB$66+$BB$67+$BB$68+$BB$69+$BB$70+$BB$72+$BB$73+$BB$74+$BB$75+$BB$76+$BB$77+$BB$78+$BB$80+$BB$81+$BB$82+$BB$83+$BB$84+$BB$85+$BB$86+$BB$87+$BB$88+$BB$89+$BB$90+$BB$91+$BB$92+$BB$93+$BB$95+$BB$96+$BB$97+$BB$98+$BB$99+$BB$100+$BB$101+$BB$102+$BB$103+$BB$104+$BB$105+$BB$106+$BB$107+$BB$108+$BB$109+$BB$111+$BB$115+$BB$120+$BB$126+$BB$130+$BB$134+$BB$137</f>
        <v>0</v>
      </c>
    </row>
  </sheetData>
  <sheetProtection algorithmName="SHA-512" hashValue="tcP3M+8OOQGZS6Fe72axrcmHAVobomrNn6Aqkqhnd83DjY2HDHg2HhSz9ix1dV++QVQQNUq01w7jux+TQbBblQ==" saltValue="8xSCeKpDy0oKbNi8w0Kpng==" spinCount="100000" sheet="1" objects="1" scenarios="1"/>
  <mergeCells count="36">
    <mergeCell ref="A138:B138"/>
    <mergeCell ref="A139:B139"/>
    <mergeCell ref="C138:BB139"/>
    <mergeCell ref="A131:B131"/>
    <mergeCell ref="A132:B132"/>
    <mergeCell ref="A133:B133"/>
    <mergeCell ref="C131:BB133"/>
    <mergeCell ref="A135:B135"/>
    <mergeCell ref="A136:B136"/>
    <mergeCell ref="C135:BB136"/>
    <mergeCell ref="A124:B124"/>
    <mergeCell ref="A125:B125"/>
    <mergeCell ref="C121:BB125"/>
    <mergeCell ref="A127:B127"/>
    <mergeCell ref="A128:B128"/>
    <mergeCell ref="A129:B129"/>
    <mergeCell ref="C127:BB129"/>
    <mergeCell ref="A118:B118"/>
    <mergeCell ref="A119:B119"/>
    <mergeCell ref="C116:BB119"/>
    <mergeCell ref="A121:B121"/>
    <mergeCell ref="A122:B122"/>
    <mergeCell ref="A123:B123"/>
    <mergeCell ref="A112:B112"/>
    <mergeCell ref="A113:B113"/>
    <mergeCell ref="A114:B114"/>
    <mergeCell ref="C112:BB114"/>
    <mergeCell ref="A116:B116"/>
    <mergeCell ref="A117:B117"/>
    <mergeCell ref="A1:B4"/>
    <mergeCell ref="C1:BB4"/>
    <mergeCell ref="C5:AZ5"/>
    <mergeCell ref="C6:AZ6"/>
    <mergeCell ref="C7:AZ7"/>
    <mergeCell ref="BA5:BA7"/>
    <mergeCell ref="BB5:BB7"/>
  </mergeCells>
  <pageMargins left="0.39370078740157499" right="0.39370078740157499" top="0.75" bottom="0.75" header="0.3" footer="0.3"/>
  <pageSetup paperSize="9" scale="80" orientation="portrait" r:id="rId1"/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B84"/>
  <sheetViews>
    <sheetView tabSelected="1" workbookViewId="0">
      <pane xSplit="2" ySplit="8" topLeftCell="C9" activePane="bottomRight" state="frozenSplit"/>
      <selection pane="bottomLeft" activeCell="A9" sqref="A9"/>
      <selection pane="topRight" activeCell="C1" sqref="C1"/>
      <selection pane="bottomRight" sqref="A1:B4"/>
    </sheetView>
  </sheetViews>
  <sheetFormatPr defaultRowHeight="15" x14ac:dyDescent="0.25"/>
  <cols>
    <col min="1" max="1" width="70.7109375" customWidth="1"/>
    <col min="2" max="2" width="7.7109375" customWidth="1"/>
    <col min="3" max="52" width="3.7109375" customWidth="1"/>
    <col min="53" max="53" width="5.7109375" customWidth="1"/>
    <col min="54" max="54" width="20.7109375" customWidth="1"/>
  </cols>
  <sheetData>
    <row r="1" spans="1:54" ht="35.1" customHeight="1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</row>
    <row r="2" spans="1:54" x14ac:dyDescent="0.2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  <c r="BA2" s="2"/>
      <c r="BB2" s="2"/>
    </row>
    <row r="3" spans="1:54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  <c r="BA3" s="2"/>
      <c r="BB3" s="2"/>
    </row>
    <row r="4" spans="1:54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  <c r="BA4" s="2"/>
      <c r="BB4" s="2"/>
    </row>
    <row r="5" spans="1:54" ht="20.100000000000001" customHeight="1" x14ac:dyDescent="0.25">
      <c r="C5" s="3" t="s">
        <v>2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5" t="s">
        <v>5</v>
      </c>
      <c r="BB5" s="6" t="s">
        <v>6</v>
      </c>
    </row>
    <row r="6" spans="1:54" ht="20.100000000000001" customHeight="1" x14ac:dyDescent="0.25">
      <c r="C6" s="3" t="s">
        <v>256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5"/>
      <c r="BB6" s="6"/>
    </row>
    <row r="7" spans="1:54" ht="20.100000000000001" customHeight="1" x14ac:dyDescent="0.25">
      <c r="C7" s="3" t="s">
        <v>257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  <c r="AI7" s="3"/>
      <c r="AJ7" s="3"/>
      <c r="AK7" s="3"/>
      <c r="AL7" s="3"/>
      <c r="AM7" s="3"/>
      <c r="AN7" s="3"/>
      <c r="AO7" s="3"/>
      <c r="AP7" s="3"/>
      <c r="AQ7" s="3"/>
      <c r="AR7" s="3"/>
      <c r="AS7" s="3"/>
      <c r="AT7" s="3"/>
      <c r="AU7" s="3"/>
      <c r="AV7" s="3"/>
      <c r="AW7" s="3"/>
      <c r="AX7" s="3"/>
      <c r="AY7" s="3"/>
      <c r="AZ7" s="3"/>
      <c r="BA7" s="5"/>
      <c r="BB7" s="6"/>
    </row>
    <row r="8" spans="1:54" ht="14.1" customHeight="1" x14ac:dyDescent="0.25">
      <c r="A8" s="7" t="s">
        <v>0</v>
      </c>
      <c r="B8" s="8" t="s">
        <v>1</v>
      </c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8"/>
      <c r="BB8" s="8"/>
    </row>
    <row r="9" spans="1:54" x14ac:dyDescent="0.25">
      <c r="A9" s="10" t="s">
        <v>7</v>
      </c>
      <c r="B9" s="11"/>
      <c r="C9" s="11"/>
      <c r="D9" s="11"/>
      <c r="E9" s="11"/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  <c r="AA9" s="11"/>
      <c r="AB9" s="11"/>
      <c r="AC9" s="11"/>
      <c r="AD9" s="11"/>
      <c r="AE9" s="11"/>
      <c r="AF9" s="11"/>
      <c r="AG9" s="11"/>
      <c r="AH9" s="11"/>
      <c r="AI9" s="11"/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</row>
    <row r="10" spans="1:54" ht="14.1" customHeight="1" x14ac:dyDescent="0.25">
      <c r="A10" s="12" t="s">
        <v>10</v>
      </c>
      <c r="B10" s="13">
        <v>105</v>
      </c>
      <c r="C10" s="14"/>
      <c r="D10" s="14"/>
      <c r="E10" s="14"/>
      <c r="F10" s="14"/>
      <c r="G10" s="14"/>
      <c r="H10" s="14"/>
      <c r="I10" s="14"/>
      <c r="J10" s="14"/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  <c r="AE10" s="14"/>
      <c r="AF10" s="14"/>
      <c r="AG10" s="14"/>
      <c r="AH10" s="14"/>
      <c r="AI10" s="14"/>
      <c r="AJ10" s="14"/>
      <c r="AK10" s="14"/>
      <c r="AL10" s="14"/>
      <c r="AM10" s="14"/>
      <c r="AN10" s="14"/>
      <c r="AO10" s="14"/>
      <c r="AP10" s="14"/>
      <c r="AQ10" s="14"/>
      <c r="AR10" s="14"/>
      <c r="AS10" s="14"/>
      <c r="AT10" s="14"/>
      <c r="AU10" s="14"/>
      <c r="AV10" s="14"/>
      <c r="AW10" s="14"/>
      <c r="AX10" s="14"/>
      <c r="AY10" s="14"/>
      <c r="AZ10" s="14"/>
      <c r="BA10" s="15">
        <f>SUM(C10:AZ10)</f>
        <v>0</v>
      </c>
      <c r="BB10" s="13">
        <f>BA10*B10</f>
        <v>0</v>
      </c>
    </row>
    <row r="11" spans="1:54" ht="14.1" customHeight="1" x14ac:dyDescent="0.25">
      <c r="A11" s="12" t="s">
        <v>8</v>
      </c>
      <c r="B11" s="13">
        <v>127</v>
      </c>
      <c r="C11" s="14"/>
      <c r="D11" s="14"/>
      <c r="E11" s="14"/>
      <c r="F11" s="14"/>
      <c r="G11" s="14"/>
      <c r="H11" s="14"/>
      <c r="I11" s="14"/>
      <c r="J11" s="14"/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  <c r="AE11" s="14"/>
      <c r="AF11" s="14"/>
      <c r="AG11" s="14"/>
      <c r="AH11" s="14"/>
      <c r="AI11" s="14"/>
      <c r="AJ11" s="14"/>
      <c r="AK11" s="14"/>
      <c r="AL11" s="14"/>
      <c r="AM11" s="14"/>
      <c r="AN11" s="14"/>
      <c r="AO11" s="14"/>
      <c r="AP11" s="14"/>
      <c r="AQ11" s="14"/>
      <c r="AR11" s="14"/>
      <c r="AS11" s="14"/>
      <c r="AT11" s="14"/>
      <c r="AU11" s="14"/>
      <c r="AV11" s="14"/>
      <c r="AW11" s="14"/>
      <c r="AX11" s="14"/>
      <c r="AY11" s="14"/>
      <c r="AZ11" s="14"/>
      <c r="BA11" s="15">
        <f>SUM(C11:AZ11)</f>
        <v>0</v>
      </c>
      <c r="BB11" s="13">
        <f>BA11*B11</f>
        <v>0</v>
      </c>
    </row>
    <row r="12" spans="1:54" ht="14.1" customHeight="1" x14ac:dyDescent="0.25">
      <c r="A12" s="12" t="s">
        <v>16</v>
      </c>
      <c r="B12" s="13">
        <v>142</v>
      </c>
      <c r="C12" s="14"/>
      <c r="D12" s="14"/>
      <c r="E12" s="14"/>
      <c r="F12" s="14"/>
      <c r="G12" s="14"/>
      <c r="H12" s="14"/>
      <c r="I12" s="14"/>
      <c r="J12" s="14"/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  <c r="AE12" s="14"/>
      <c r="AF12" s="14"/>
      <c r="AG12" s="14"/>
      <c r="AH12" s="14"/>
      <c r="AI12" s="14"/>
      <c r="AJ12" s="14"/>
      <c r="AK12" s="14"/>
      <c r="AL12" s="14"/>
      <c r="AM12" s="14"/>
      <c r="AN12" s="14"/>
      <c r="AO12" s="14"/>
      <c r="AP12" s="14"/>
      <c r="AQ12" s="14"/>
      <c r="AR12" s="14"/>
      <c r="AS12" s="14"/>
      <c r="AT12" s="14"/>
      <c r="AU12" s="14"/>
      <c r="AV12" s="14"/>
      <c r="AW12" s="14"/>
      <c r="AX12" s="14"/>
      <c r="AY12" s="14"/>
      <c r="AZ12" s="14"/>
      <c r="BA12" s="15">
        <f>SUM(C12:AZ12)</f>
        <v>0</v>
      </c>
      <c r="BB12" s="13">
        <f>BA12*B12</f>
        <v>0</v>
      </c>
    </row>
    <row r="13" spans="1:54" ht="14.1" customHeight="1" x14ac:dyDescent="0.25">
      <c r="A13" s="12" t="s">
        <v>258</v>
      </c>
      <c r="B13" s="13">
        <v>155</v>
      </c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  <c r="AE13" s="14"/>
      <c r="AF13" s="14"/>
      <c r="AG13" s="14"/>
      <c r="AH13" s="14"/>
      <c r="AI13" s="14"/>
      <c r="AJ13" s="14"/>
      <c r="AK13" s="14"/>
      <c r="AL13" s="14"/>
      <c r="AM13" s="14"/>
      <c r="AN13" s="14"/>
      <c r="AO13" s="14"/>
      <c r="AP13" s="14"/>
      <c r="AQ13" s="14"/>
      <c r="AR13" s="14"/>
      <c r="AS13" s="14"/>
      <c r="AT13" s="14"/>
      <c r="AU13" s="14"/>
      <c r="AV13" s="14"/>
      <c r="AW13" s="14"/>
      <c r="AX13" s="14"/>
      <c r="AY13" s="14"/>
      <c r="AZ13" s="14"/>
      <c r="BA13" s="15">
        <f>SUM(C13:AZ13)</f>
        <v>0</v>
      </c>
      <c r="BB13" s="13">
        <f>BA13*B13</f>
        <v>0</v>
      </c>
    </row>
    <row r="14" spans="1:54" ht="14.1" customHeight="1" x14ac:dyDescent="0.25">
      <c r="A14" s="12" t="s">
        <v>19</v>
      </c>
      <c r="B14" s="13">
        <v>112</v>
      </c>
      <c r="C14" s="14"/>
      <c r="D14" s="14"/>
      <c r="E14" s="14"/>
      <c r="F14" s="14"/>
      <c r="G14" s="14"/>
      <c r="H14" s="14"/>
      <c r="I14" s="14"/>
      <c r="J14" s="14"/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  <c r="AE14" s="14"/>
      <c r="AF14" s="14"/>
      <c r="AG14" s="14"/>
      <c r="AH14" s="14"/>
      <c r="AI14" s="14"/>
      <c r="AJ14" s="14"/>
      <c r="AK14" s="14"/>
      <c r="AL14" s="14"/>
      <c r="AM14" s="14"/>
      <c r="AN14" s="14"/>
      <c r="AO14" s="14"/>
      <c r="AP14" s="14"/>
      <c r="AQ14" s="14"/>
      <c r="AR14" s="14"/>
      <c r="AS14" s="14"/>
      <c r="AT14" s="14"/>
      <c r="AU14" s="14"/>
      <c r="AV14" s="14"/>
      <c r="AW14" s="14"/>
      <c r="AX14" s="14"/>
      <c r="AY14" s="14"/>
      <c r="AZ14" s="14"/>
      <c r="BA14" s="15">
        <f>SUM(C14:AZ14)</f>
        <v>0</v>
      </c>
      <c r="BB14" s="13">
        <f>BA14*B14</f>
        <v>0</v>
      </c>
    </row>
    <row r="15" spans="1:54" x14ac:dyDescent="0.25">
      <c r="A15" s="10" t="s">
        <v>44</v>
      </c>
      <c r="B15" s="11"/>
      <c r="C15" s="11"/>
      <c r="D15" s="11"/>
      <c r="E15" s="11"/>
      <c r="F15" s="11"/>
      <c r="G15" s="11"/>
      <c r="H15" s="11"/>
      <c r="I15" s="11"/>
      <c r="J15" s="11"/>
      <c r="K15" s="11"/>
      <c r="L15" s="11"/>
      <c r="M15" s="11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  <c r="AA15" s="11"/>
      <c r="AB15" s="11"/>
      <c r="AC15" s="11"/>
      <c r="AD15" s="11"/>
      <c r="AE15" s="11"/>
      <c r="AF15" s="11"/>
      <c r="AG15" s="11"/>
      <c r="AH15" s="11"/>
      <c r="AI15" s="11"/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</row>
    <row r="16" spans="1:54" ht="14.1" customHeight="1" x14ac:dyDescent="0.25">
      <c r="A16" s="12" t="s">
        <v>42</v>
      </c>
      <c r="B16" s="13">
        <v>130</v>
      </c>
      <c r="C16" s="14"/>
      <c r="D16" s="14"/>
      <c r="E16" s="14"/>
      <c r="F16" s="14"/>
      <c r="G16" s="14"/>
      <c r="H16" s="14"/>
      <c r="I16" s="14"/>
      <c r="J16" s="14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  <c r="AE16" s="14"/>
      <c r="AF16" s="14"/>
      <c r="AG16" s="14"/>
      <c r="AH16" s="14"/>
      <c r="AI16" s="14"/>
      <c r="AJ16" s="14"/>
      <c r="AK16" s="14"/>
      <c r="AL16" s="14"/>
      <c r="AM16" s="14"/>
      <c r="AN16" s="14"/>
      <c r="AO16" s="14"/>
      <c r="AP16" s="14"/>
      <c r="AQ16" s="14"/>
      <c r="AR16" s="14"/>
      <c r="AS16" s="14"/>
      <c r="AT16" s="14"/>
      <c r="AU16" s="14"/>
      <c r="AV16" s="14"/>
      <c r="AW16" s="14"/>
      <c r="AX16" s="14"/>
      <c r="AY16" s="14"/>
      <c r="AZ16" s="14"/>
      <c r="BA16" s="15">
        <f>SUM(C16:AZ16)</f>
        <v>0</v>
      </c>
      <c r="BB16" s="13">
        <f>BA16*B16</f>
        <v>0</v>
      </c>
    </row>
    <row r="17" spans="1:54" ht="14.1" customHeight="1" x14ac:dyDescent="0.25">
      <c r="A17" s="12" t="s">
        <v>45</v>
      </c>
      <c r="B17" s="13">
        <v>154</v>
      </c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  <c r="AE17" s="14"/>
      <c r="AF17" s="14"/>
      <c r="AG17" s="14"/>
      <c r="AH17" s="14"/>
      <c r="AI17" s="14"/>
      <c r="AJ17" s="14"/>
      <c r="AK17" s="14"/>
      <c r="AL17" s="14"/>
      <c r="AM17" s="14"/>
      <c r="AN17" s="14"/>
      <c r="AO17" s="14"/>
      <c r="AP17" s="14"/>
      <c r="AQ17" s="14"/>
      <c r="AR17" s="14"/>
      <c r="AS17" s="14"/>
      <c r="AT17" s="14"/>
      <c r="AU17" s="14"/>
      <c r="AV17" s="14"/>
      <c r="AW17" s="14"/>
      <c r="AX17" s="14"/>
      <c r="AY17" s="14"/>
      <c r="AZ17" s="14"/>
      <c r="BA17" s="15">
        <f>SUM(C17:AZ17)</f>
        <v>0</v>
      </c>
      <c r="BB17" s="13">
        <f>BA17*B17</f>
        <v>0</v>
      </c>
    </row>
    <row r="18" spans="1:54" ht="14.1" customHeight="1" x14ac:dyDescent="0.25">
      <c r="A18" s="12" t="s">
        <v>259</v>
      </c>
      <c r="B18" s="13">
        <v>137</v>
      </c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  <c r="AE18" s="14"/>
      <c r="AF18" s="14"/>
      <c r="AG18" s="14"/>
      <c r="AH18" s="14"/>
      <c r="AI18" s="14"/>
      <c r="AJ18" s="14"/>
      <c r="AK18" s="14"/>
      <c r="AL18" s="14"/>
      <c r="AM18" s="14"/>
      <c r="AN18" s="14"/>
      <c r="AO18" s="14"/>
      <c r="AP18" s="14"/>
      <c r="AQ18" s="14"/>
      <c r="AR18" s="14"/>
      <c r="AS18" s="14"/>
      <c r="AT18" s="14"/>
      <c r="AU18" s="14"/>
      <c r="AV18" s="14"/>
      <c r="AW18" s="14"/>
      <c r="AX18" s="14"/>
      <c r="AY18" s="14"/>
      <c r="AZ18" s="14"/>
      <c r="BA18" s="15">
        <f>SUM(C18:AZ18)</f>
        <v>0</v>
      </c>
      <c r="BB18" s="13">
        <f>BA18*B18</f>
        <v>0</v>
      </c>
    </row>
    <row r="19" spans="1:54" x14ac:dyDescent="0.25">
      <c r="A19" s="10" t="s">
        <v>47</v>
      </c>
      <c r="B19" s="11"/>
      <c r="C19" s="11"/>
      <c r="D19" s="11"/>
      <c r="E19" s="11"/>
      <c r="F19" s="11"/>
      <c r="G19" s="11"/>
      <c r="H19" s="11"/>
      <c r="I19" s="11"/>
      <c r="J19" s="11"/>
      <c r="K19" s="11"/>
      <c r="L19" s="11"/>
      <c r="M19" s="11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  <c r="AA19" s="11"/>
      <c r="AB19" s="11"/>
      <c r="AC19" s="11"/>
      <c r="AD19" s="11"/>
      <c r="AE19" s="11"/>
      <c r="AF19" s="11"/>
      <c r="AG19" s="11"/>
      <c r="AH19" s="11"/>
      <c r="AI19" s="11"/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</row>
    <row r="20" spans="1:54" ht="14.1" customHeight="1" x14ac:dyDescent="0.25">
      <c r="A20" s="12" t="s">
        <v>52</v>
      </c>
      <c r="B20" s="13">
        <v>178</v>
      </c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  <c r="AE20" s="14"/>
      <c r="AF20" s="14"/>
      <c r="AG20" s="14"/>
      <c r="AH20" s="14"/>
      <c r="AI20" s="14"/>
      <c r="AJ20" s="14"/>
      <c r="AK20" s="14"/>
      <c r="AL20" s="14"/>
      <c r="AM20" s="14"/>
      <c r="AN20" s="14"/>
      <c r="AO20" s="14"/>
      <c r="AP20" s="14"/>
      <c r="AQ20" s="14"/>
      <c r="AR20" s="14"/>
      <c r="AS20" s="14"/>
      <c r="AT20" s="14"/>
      <c r="AU20" s="14"/>
      <c r="AV20" s="14"/>
      <c r="AW20" s="14"/>
      <c r="AX20" s="14"/>
      <c r="AY20" s="14"/>
      <c r="AZ20" s="14"/>
      <c r="BA20" s="15">
        <f>SUM(C20:AZ20)</f>
        <v>0</v>
      </c>
      <c r="BB20" s="13">
        <f>BA20*B20</f>
        <v>0</v>
      </c>
    </row>
    <row r="21" spans="1:54" ht="14.1" customHeight="1" x14ac:dyDescent="0.25">
      <c r="A21" s="12" t="s">
        <v>260</v>
      </c>
      <c r="B21" s="13">
        <v>142</v>
      </c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  <c r="AE21" s="14"/>
      <c r="AF21" s="14"/>
      <c r="AG21" s="14"/>
      <c r="AH21" s="14"/>
      <c r="AI21" s="14"/>
      <c r="AJ21" s="14"/>
      <c r="AK21" s="14"/>
      <c r="AL21" s="14"/>
      <c r="AM21" s="14"/>
      <c r="AN21" s="14"/>
      <c r="AO21" s="14"/>
      <c r="AP21" s="14"/>
      <c r="AQ21" s="14"/>
      <c r="AR21" s="14"/>
      <c r="AS21" s="14"/>
      <c r="AT21" s="14"/>
      <c r="AU21" s="14"/>
      <c r="AV21" s="14"/>
      <c r="AW21" s="14"/>
      <c r="AX21" s="14"/>
      <c r="AY21" s="14"/>
      <c r="AZ21" s="14"/>
      <c r="BA21" s="15">
        <f>SUM(C21:AZ21)</f>
        <v>0</v>
      </c>
      <c r="BB21" s="13">
        <f>BA21*B21</f>
        <v>0</v>
      </c>
    </row>
    <row r="22" spans="1:54" ht="14.1" customHeight="1" x14ac:dyDescent="0.25">
      <c r="A22" s="12" t="s">
        <v>58</v>
      </c>
      <c r="B22" s="13">
        <v>219</v>
      </c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  <c r="AE22" s="14"/>
      <c r="AF22" s="14"/>
      <c r="AG22" s="14"/>
      <c r="AH22" s="14"/>
      <c r="AI22" s="14"/>
      <c r="AJ22" s="14"/>
      <c r="AK22" s="14"/>
      <c r="AL22" s="14"/>
      <c r="AM22" s="14"/>
      <c r="AN22" s="14"/>
      <c r="AO22" s="14"/>
      <c r="AP22" s="14"/>
      <c r="AQ22" s="14"/>
      <c r="AR22" s="14"/>
      <c r="AS22" s="14"/>
      <c r="AT22" s="14"/>
      <c r="AU22" s="14"/>
      <c r="AV22" s="14"/>
      <c r="AW22" s="14"/>
      <c r="AX22" s="14"/>
      <c r="AY22" s="14"/>
      <c r="AZ22" s="14"/>
      <c r="BA22" s="15">
        <f>SUM(C22:AZ22)</f>
        <v>0</v>
      </c>
      <c r="BB22" s="13">
        <f>BA22*B22</f>
        <v>0</v>
      </c>
    </row>
    <row r="23" spans="1:54" ht="14.1" customHeight="1" x14ac:dyDescent="0.25">
      <c r="A23" s="12" t="s">
        <v>91</v>
      </c>
      <c r="B23" s="13">
        <v>164</v>
      </c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  <c r="AE23" s="14"/>
      <c r="AF23" s="14"/>
      <c r="AG23" s="14"/>
      <c r="AH23" s="14"/>
      <c r="AI23" s="14"/>
      <c r="AJ23" s="14"/>
      <c r="AK23" s="14"/>
      <c r="AL23" s="14"/>
      <c r="AM23" s="14"/>
      <c r="AN23" s="14"/>
      <c r="AO23" s="14"/>
      <c r="AP23" s="14"/>
      <c r="AQ23" s="14"/>
      <c r="AR23" s="14"/>
      <c r="AS23" s="14"/>
      <c r="AT23" s="14"/>
      <c r="AU23" s="14"/>
      <c r="AV23" s="14"/>
      <c r="AW23" s="14"/>
      <c r="AX23" s="14"/>
      <c r="AY23" s="14"/>
      <c r="AZ23" s="14"/>
      <c r="BA23" s="15">
        <f>SUM(C23:AZ23)</f>
        <v>0</v>
      </c>
      <c r="BB23" s="13">
        <f>BA23*B23</f>
        <v>0</v>
      </c>
    </row>
    <row r="24" spans="1:54" ht="14.1" customHeight="1" x14ac:dyDescent="0.25">
      <c r="A24" s="12" t="s">
        <v>67</v>
      </c>
      <c r="B24" s="13">
        <v>191</v>
      </c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  <c r="AE24" s="14"/>
      <c r="AF24" s="14"/>
      <c r="AG24" s="14"/>
      <c r="AH24" s="14"/>
      <c r="AI24" s="14"/>
      <c r="AJ24" s="14"/>
      <c r="AK24" s="14"/>
      <c r="AL24" s="14"/>
      <c r="AM24" s="14"/>
      <c r="AN24" s="14"/>
      <c r="AO24" s="14"/>
      <c r="AP24" s="14"/>
      <c r="AQ24" s="14"/>
      <c r="AR24" s="14"/>
      <c r="AS24" s="14"/>
      <c r="AT24" s="14"/>
      <c r="AU24" s="14"/>
      <c r="AV24" s="14"/>
      <c r="AW24" s="14"/>
      <c r="AX24" s="14"/>
      <c r="AY24" s="14"/>
      <c r="AZ24" s="14"/>
      <c r="BA24" s="15">
        <f>SUM(C24:AZ24)</f>
        <v>0</v>
      </c>
      <c r="BB24" s="13">
        <f>BA24*B24</f>
        <v>0</v>
      </c>
    </row>
    <row r="25" spans="1:54" ht="14.1" customHeight="1" x14ac:dyDescent="0.25">
      <c r="A25" s="12" t="s">
        <v>63</v>
      </c>
      <c r="B25" s="13">
        <v>205</v>
      </c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  <c r="AE25" s="14"/>
      <c r="AF25" s="14"/>
      <c r="AG25" s="14"/>
      <c r="AH25" s="14"/>
      <c r="AI25" s="14"/>
      <c r="AJ25" s="14"/>
      <c r="AK25" s="14"/>
      <c r="AL25" s="14"/>
      <c r="AM25" s="14"/>
      <c r="AN25" s="14"/>
      <c r="AO25" s="14"/>
      <c r="AP25" s="14"/>
      <c r="AQ25" s="14"/>
      <c r="AR25" s="14"/>
      <c r="AS25" s="14"/>
      <c r="AT25" s="14"/>
      <c r="AU25" s="14"/>
      <c r="AV25" s="14"/>
      <c r="AW25" s="14"/>
      <c r="AX25" s="14"/>
      <c r="AY25" s="14"/>
      <c r="AZ25" s="14"/>
      <c r="BA25" s="15">
        <f>SUM(C25:AZ25)</f>
        <v>0</v>
      </c>
      <c r="BB25" s="13">
        <f>BA25*B25</f>
        <v>0</v>
      </c>
    </row>
    <row r="26" spans="1:54" ht="14.1" customHeight="1" x14ac:dyDescent="0.25">
      <c r="A26" s="12" t="s">
        <v>261</v>
      </c>
      <c r="B26" s="13">
        <v>190</v>
      </c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  <c r="AE26" s="14"/>
      <c r="AF26" s="14"/>
      <c r="AG26" s="14"/>
      <c r="AH26" s="14"/>
      <c r="AI26" s="14"/>
      <c r="AJ26" s="14"/>
      <c r="AK26" s="14"/>
      <c r="AL26" s="14"/>
      <c r="AM26" s="14"/>
      <c r="AN26" s="14"/>
      <c r="AO26" s="14"/>
      <c r="AP26" s="14"/>
      <c r="AQ26" s="14"/>
      <c r="AR26" s="14"/>
      <c r="AS26" s="14"/>
      <c r="AT26" s="14"/>
      <c r="AU26" s="14"/>
      <c r="AV26" s="14"/>
      <c r="AW26" s="14"/>
      <c r="AX26" s="14"/>
      <c r="AY26" s="14"/>
      <c r="AZ26" s="14"/>
      <c r="BA26" s="15">
        <f>SUM(C26:AZ26)</f>
        <v>0</v>
      </c>
      <c r="BB26" s="13">
        <f>BA26*B26</f>
        <v>0</v>
      </c>
    </row>
    <row r="27" spans="1:54" x14ac:dyDescent="0.25">
      <c r="A27" s="10" t="s">
        <v>94</v>
      </c>
      <c r="B27" s="11"/>
      <c r="C27" s="11"/>
      <c r="D27" s="11"/>
      <c r="E27" s="11"/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  <c r="AA27" s="11"/>
      <c r="AB27" s="11"/>
      <c r="AC27" s="11"/>
      <c r="AD27" s="11"/>
      <c r="AE27" s="11"/>
      <c r="AF27" s="11"/>
      <c r="AG27" s="11"/>
      <c r="AH27" s="11"/>
      <c r="AI27" s="11"/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</row>
    <row r="28" spans="1:54" ht="14.1" customHeight="1" x14ac:dyDescent="0.25">
      <c r="A28" s="12" t="s">
        <v>245</v>
      </c>
      <c r="B28" s="13">
        <v>132</v>
      </c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  <c r="AE28" s="14"/>
      <c r="AF28" s="14"/>
      <c r="AG28" s="14"/>
      <c r="AH28" s="14"/>
      <c r="AI28" s="14"/>
      <c r="AJ28" s="14"/>
      <c r="AK28" s="14"/>
      <c r="AL28" s="14"/>
      <c r="AM28" s="14"/>
      <c r="AN28" s="14"/>
      <c r="AO28" s="14"/>
      <c r="AP28" s="14"/>
      <c r="AQ28" s="14"/>
      <c r="AR28" s="14"/>
      <c r="AS28" s="14"/>
      <c r="AT28" s="14"/>
      <c r="AU28" s="14"/>
      <c r="AV28" s="14"/>
      <c r="AW28" s="14"/>
      <c r="AX28" s="14"/>
      <c r="AY28" s="14"/>
      <c r="AZ28" s="14"/>
      <c r="BA28" s="15">
        <f>SUM(C28:AZ28)</f>
        <v>0</v>
      </c>
      <c r="BB28" s="13">
        <f>BA28*B28</f>
        <v>0</v>
      </c>
    </row>
    <row r="29" spans="1:54" ht="14.1" customHeight="1" x14ac:dyDescent="0.25">
      <c r="A29" s="12" t="s">
        <v>193</v>
      </c>
      <c r="B29" s="13">
        <v>96</v>
      </c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  <c r="AE29" s="14"/>
      <c r="AF29" s="14"/>
      <c r="AG29" s="14"/>
      <c r="AH29" s="14"/>
      <c r="AI29" s="14"/>
      <c r="AJ29" s="14"/>
      <c r="AK29" s="14"/>
      <c r="AL29" s="14"/>
      <c r="AM29" s="14"/>
      <c r="AN29" s="14"/>
      <c r="AO29" s="14"/>
      <c r="AP29" s="14"/>
      <c r="AQ29" s="14"/>
      <c r="AR29" s="14"/>
      <c r="AS29" s="14"/>
      <c r="AT29" s="14"/>
      <c r="AU29" s="14"/>
      <c r="AV29" s="14"/>
      <c r="AW29" s="14"/>
      <c r="AX29" s="14"/>
      <c r="AY29" s="14"/>
      <c r="AZ29" s="14"/>
      <c r="BA29" s="15">
        <f>SUM(C29:AZ29)</f>
        <v>0</v>
      </c>
      <c r="BB29" s="13">
        <f>BA29*B29</f>
        <v>0</v>
      </c>
    </row>
    <row r="30" spans="1:54" ht="14.1" customHeight="1" x14ac:dyDescent="0.25">
      <c r="A30" s="12" t="s">
        <v>219</v>
      </c>
      <c r="B30" s="13">
        <v>110</v>
      </c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  <c r="AE30" s="14"/>
      <c r="AF30" s="14"/>
      <c r="AG30" s="14"/>
      <c r="AH30" s="14"/>
      <c r="AI30" s="14"/>
      <c r="AJ30" s="14"/>
      <c r="AK30" s="14"/>
      <c r="AL30" s="14"/>
      <c r="AM30" s="14"/>
      <c r="AN30" s="14"/>
      <c r="AO30" s="14"/>
      <c r="AP30" s="14"/>
      <c r="AQ30" s="14"/>
      <c r="AR30" s="14"/>
      <c r="AS30" s="14"/>
      <c r="AT30" s="14"/>
      <c r="AU30" s="14"/>
      <c r="AV30" s="14"/>
      <c r="AW30" s="14"/>
      <c r="AX30" s="14"/>
      <c r="AY30" s="14"/>
      <c r="AZ30" s="14"/>
      <c r="BA30" s="15">
        <f>SUM(C30:AZ30)</f>
        <v>0</v>
      </c>
      <c r="BB30" s="13">
        <f>BA30*B30</f>
        <v>0</v>
      </c>
    </row>
    <row r="31" spans="1:54" x14ac:dyDescent="0.25">
      <c r="A31" s="10" t="s">
        <v>117</v>
      </c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</row>
    <row r="32" spans="1:54" ht="14.1" customHeight="1" x14ac:dyDescent="0.25">
      <c r="A32" s="12" t="s">
        <v>115</v>
      </c>
      <c r="B32" s="13">
        <v>164</v>
      </c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  <c r="AQ32" s="14"/>
      <c r="AR32" s="14"/>
      <c r="AS32" s="14"/>
      <c r="AT32" s="14"/>
      <c r="AU32" s="14"/>
      <c r="AV32" s="14"/>
      <c r="AW32" s="14"/>
      <c r="AX32" s="14"/>
      <c r="AY32" s="14"/>
      <c r="AZ32" s="14"/>
      <c r="BA32" s="15">
        <f>SUM(C32:AZ32)</f>
        <v>0</v>
      </c>
      <c r="BB32" s="13">
        <f>BA32*B32</f>
        <v>0</v>
      </c>
    </row>
    <row r="33" spans="1:54" ht="14.1" customHeight="1" x14ac:dyDescent="0.25">
      <c r="A33" s="12" t="s">
        <v>116</v>
      </c>
      <c r="B33" s="13">
        <v>179</v>
      </c>
      <c r="C33" s="14"/>
      <c r="D33" s="14"/>
      <c r="E33" s="14"/>
      <c r="F33" s="14"/>
      <c r="G33" s="14"/>
      <c r="H33" s="14"/>
      <c r="I33" s="14"/>
      <c r="J33" s="14"/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  <c r="X33" s="14"/>
      <c r="Y33" s="14"/>
      <c r="Z33" s="14"/>
      <c r="AA33" s="14"/>
      <c r="AB33" s="14"/>
      <c r="AC33" s="14"/>
      <c r="AD33" s="14"/>
      <c r="AE33" s="14"/>
      <c r="AF33" s="14"/>
      <c r="AG33" s="14"/>
      <c r="AH33" s="14"/>
      <c r="AI33" s="14"/>
      <c r="AJ33" s="14"/>
      <c r="AK33" s="14"/>
      <c r="AL33" s="14"/>
      <c r="AM33" s="14"/>
      <c r="AN33" s="14"/>
      <c r="AO33" s="14"/>
      <c r="AP33" s="14"/>
      <c r="AQ33" s="14"/>
      <c r="AR33" s="14"/>
      <c r="AS33" s="14"/>
      <c r="AT33" s="14"/>
      <c r="AU33" s="14"/>
      <c r="AV33" s="14"/>
      <c r="AW33" s="14"/>
      <c r="AX33" s="14"/>
      <c r="AY33" s="14"/>
      <c r="AZ33" s="14"/>
      <c r="BA33" s="15">
        <f>SUM(C33:AZ33)</f>
        <v>0</v>
      </c>
      <c r="BB33" s="13">
        <f>BA33*B33</f>
        <v>0</v>
      </c>
    </row>
    <row r="34" spans="1:54" x14ac:dyDescent="0.25">
      <c r="A34" s="10" t="s">
        <v>136</v>
      </c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</row>
    <row r="35" spans="1:54" ht="14.1" customHeight="1" x14ac:dyDescent="0.25">
      <c r="A35" s="12" t="s">
        <v>138</v>
      </c>
      <c r="B35" s="13">
        <v>63</v>
      </c>
      <c r="C35" s="14"/>
      <c r="D35" s="14"/>
      <c r="E35" s="14"/>
      <c r="F35" s="14"/>
      <c r="G35" s="14"/>
      <c r="H35" s="14"/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  <c r="T35" s="14"/>
      <c r="U35" s="14"/>
      <c r="V35" s="14"/>
      <c r="W35" s="14"/>
      <c r="X35" s="14"/>
      <c r="Y35" s="14"/>
      <c r="Z35" s="14"/>
      <c r="AA35" s="14"/>
      <c r="AB35" s="14"/>
      <c r="AC35" s="14"/>
      <c r="AD35" s="14"/>
      <c r="AE35" s="14"/>
      <c r="AF35" s="14"/>
      <c r="AG35" s="14"/>
      <c r="AH35" s="14"/>
      <c r="AI35" s="14"/>
      <c r="AJ35" s="14"/>
      <c r="AK35" s="14"/>
      <c r="AL35" s="14"/>
      <c r="AM35" s="14"/>
      <c r="AN35" s="14"/>
      <c r="AO35" s="14"/>
      <c r="AP35" s="14"/>
      <c r="AQ35" s="14"/>
      <c r="AR35" s="14"/>
      <c r="AS35" s="14"/>
      <c r="AT35" s="14"/>
      <c r="AU35" s="14"/>
      <c r="AV35" s="14"/>
      <c r="AW35" s="14"/>
      <c r="AX35" s="14"/>
      <c r="AY35" s="14"/>
      <c r="AZ35" s="14"/>
      <c r="BA35" s="15">
        <f>SUM(C35:AZ35)</f>
        <v>0</v>
      </c>
      <c r="BB35" s="13">
        <f>BA35*B35</f>
        <v>0</v>
      </c>
    </row>
    <row r="36" spans="1:54" ht="14.1" customHeight="1" x14ac:dyDescent="0.25">
      <c r="A36" s="12" t="s">
        <v>139</v>
      </c>
      <c r="B36" s="13">
        <v>86</v>
      </c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  <c r="AQ36" s="14"/>
      <c r="AR36" s="14"/>
      <c r="AS36" s="14"/>
      <c r="AT36" s="14"/>
      <c r="AU36" s="14"/>
      <c r="AV36" s="14"/>
      <c r="AW36" s="14"/>
      <c r="AX36" s="14"/>
      <c r="AY36" s="14"/>
      <c r="AZ36" s="14"/>
      <c r="BA36" s="15">
        <f>SUM(C36:AZ36)</f>
        <v>0</v>
      </c>
      <c r="BB36" s="13">
        <f>BA36*B36</f>
        <v>0</v>
      </c>
    </row>
    <row r="37" spans="1:54" ht="14.1" customHeight="1" x14ac:dyDescent="0.25">
      <c r="A37" s="12" t="s">
        <v>141</v>
      </c>
      <c r="B37" s="13">
        <v>72</v>
      </c>
      <c r="C37" s="14"/>
      <c r="D37" s="14"/>
      <c r="E37" s="14"/>
      <c r="F37" s="14"/>
      <c r="G37" s="14"/>
      <c r="H37" s="14"/>
      <c r="I37" s="14"/>
      <c r="J37" s="14"/>
      <c r="K37" s="14"/>
      <c r="L37" s="14"/>
      <c r="M37" s="14"/>
      <c r="N37" s="14"/>
      <c r="O37" s="14"/>
      <c r="P37" s="14"/>
      <c r="Q37" s="14"/>
      <c r="R37" s="14"/>
      <c r="S37" s="14"/>
      <c r="T37" s="14"/>
      <c r="U37" s="14"/>
      <c r="V37" s="14"/>
      <c r="W37" s="14"/>
      <c r="X37" s="14"/>
      <c r="Y37" s="14"/>
      <c r="Z37" s="14"/>
      <c r="AA37" s="14"/>
      <c r="AB37" s="14"/>
      <c r="AC37" s="14"/>
      <c r="AD37" s="14"/>
      <c r="AE37" s="14"/>
      <c r="AF37" s="14"/>
      <c r="AG37" s="14"/>
      <c r="AH37" s="14"/>
      <c r="AI37" s="14"/>
      <c r="AJ37" s="14"/>
      <c r="AK37" s="14"/>
      <c r="AL37" s="14"/>
      <c r="AM37" s="14"/>
      <c r="AN37" s="14"/>
      <c r="AO37" s="14"/>
      <c r="AP37" s="14"/>
      <c r="AQ37" s="14"/>
      <c r="AR37" s="14"/>
      <c r="AS37" s="14"/>
      <c r="AT37" s="14"/>
      <c r="AU37" s="14"/>
      <c r="AV37" s="14"/>
      <c r="AW37" s="14"/>
      <c r="AX37" s="14"/>
      <c r="AY37" s="14"/>
      <c r="AZ37" s="14"/>
      <c r="BA37" s="15">
        <f>SUM(C37:AZ37)</f>
        <v>0</v>
      </c>
      <c r="BB37" s="13">
        <f>BA37*B37</f>
        <v>0</v>
      </c>
    </row>
    <row r="38" spans="1:54" ht="14.1" customHeight="1" x14ac:dyDescent="0.25">
      <c r="A38" s="12" t="s">
        <v>140</v>
      </c>
      <c r="B38" s="13">
        <v>72</v>
      </c>
      <c r="C38" s="14"/>
      <c r="D38" s="14"/>
      <c r="E38" s="14"/>
      <c r="F38" s="14"/>
      <c r="G38" s="14"/>
      <c r="H38" s="14"/>
      <c r="I38" s="14"/>
      <c r="J38" s="14"/>
      <c r="K38" s="14"/>
      <c r="L38" s="14"/>
      <c r="M38" s="14"/>
      <c r="N38" s="14"/>
      <c r="O38" s="14"/>
      <c r="P38" s="14"/>
      <c r="Q38" s="14"/>
      <c r="R38" s="14"/>
      <c r="S38" s="14"/>
      <c r="T38" s="14"/>
      <c r="U38" s="14"/>
      <c r="V38" s="14"/>
      <c r="W38" s="14"/>
      <c r="X38" s="14"/>
      <c r="Y38" s="14"/>
      <c r="Z38" s="14"/>
      <c r="AA38" s="14"/>
      <c r="AB38" s="14"/>
      <c r="AC38" s="14"/>
      <c r="AD38" s="14"/>
      <c r="AE38" s="14"/>
      <c r="AF38" s="14"/>
      <c r="AG38" s="14"/>
      <c r="AH38" s="14"/>
      <c r="AI38" s="14"/>
      <c r="AJ38" s="14"/>
      <c r="AK38" s="14"/>
      <c r="AL38" s="14"/>
      <c r="AM38" s="14"/>
      <c r="AN38" s="14"/>
      <c r="AO38" s="14"/>
      <c r="AP38" s="14"/>
      <c r="AQ38" s="14"/>
      <c r="AR38" s="14"/>
      <c r="AS38" s="14"/>
      <c r="AT38" s="14"/>
      <c r="AU38" s="14"/>
      <c r="AV38" s="14"/>
      <c r="AW38" s="14"/>
      <c r="AX38" s="14"/>
      <c r="AY38" s="14"/>
      <c r="AZ38" s="14"/>
      <c r="BA38" s="15">
        <f>SUM(C38:AZ38)</f>
        <v>0</v>
      </c>
      <c r="BB38" s="13">
        <f>BA38*B38</f>
        <v>0</v>
      </c>
    </row>
    <row r="39" spans="1:54" ht="14.1" customHeight="1" x14ac:dyDescent="0.25">
      <c r="A39" s="12" t="s">
        <v>145</v>
      </c>
      <c r="B39" s="13">
        <v>103</v>
      </c>
      <c r="C39" s="14"/>
      <c r="D39" s="14"/>
      <c r="E39" s="14"/>
      <c r="F39" s="14"/>
      <c r="G39" s="14"/>
      <c r="H39" s="14"/>
      <c r="I39" s="14"/>
      <c r="J39" s="14"/>
      <c r="K39" s="14"/>
      <c r="L39" s="14"/>
      <c r="M39" s="14"/>
      <c r="N39" s="14"/>
      <c r="O39" s="14"/>
      <c r="P39" s="14"/>
      <c r="Q39" s="14"/>
      <c r="R39" s="14"/>
      <c r="S39" s="14"/>
      <c r="T39" s="14"/>
      <c r="U39" s="14"/>
      <c r="V39" s="14"/>
      <c r="W39" s="14"/>
      <c r="X39" s="14"/>
      <c r="Y39" s="14"/>
      <c r="Z39" s="14"/>
      <c r="AA39" s="14"/>
      <c r="AB39" s="14"/>
      <c r="AC39" s="14"/>
      <c r="AD39" s="14"/>
      <c r="AE39" s="14"/>
      <c r="AF39" s="14"/>
      <c r="AG39" s="14"/>
      <c r="AH39" s="14"/>
      <c r="AI39" s="14"/>
      <c r="AJ39" s="14"/>
      <c r="AK39" s="14"/>
      <c r="AL39" s="14"/>
      <c r="AM39" s="14"/>
      <c r="AN39" s="14"/>
      <c r="AO39" s="14"/>
      <c r="AP39" s="14"/>
      <c r="AQ39" s="14"/>
      <c r="AR39" s="14"/>
      <c r="AS39" s="14"/>
      <c r="AT39" s="14"/>
      <c r="AU39" s="14"/>
      <c r="AV39" s="14"/>
      <c r="AW39" s="14"/>
      <c r="AX39" s="14"/>
      <c r="AY39" s="14"/>
      <c r="AZ39" s="14"/>
      <c r="BA39" s="15">
        <f>SUM(C39:AZ39)</f>
        <v>0</v>
      </c>
      <c r="BB39" s="13">
        <f>BA39*B39</f>
        <v>0</v>
      </c>
    </row>
    <row r="40" spans="1:54" x14ac:dyDescent="0.25">
      <c r="A40" s="10" t="s">
        <v>160</v>
      </c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</row>
    <row r="41" spans="1:54" ht="14.1" customHeight="1" x14ac:dyDescent="0.25">
      <c r="A41" s="12" t="s">
        <v>161</v>
      </c>
      <c r="B41" s="13">
        <v>46</v>
      </c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  <c r="AQ41" s="14"/>
      <c r="AR41" s="14"/>
      <c r="AS41" s="14"/>
      <c r="AT41" s="14"/>
      <c r="AU41" s="14"/>
      <c r="AV41" s="14"/>
      <c r="AW41" s="14"/>
      <c r="AX41" s="14"/>
      <c r="AY41" s="14"/>
      <c r="AZ41" s="14"/>
      <c r="BA41" s="15">
        <f>SUM(C41:AZ41)</f>
        <v>0</v>
      </c>
      <c r="BB41" s="13">
        <f>BA41*B41</f>
        <v>0</v>
      </c>
    </row>
    <row r="42" spans="1:54" ht="14.1" customHeight="1" x14ac:dyDescent="0.25">
      <c r="A42" s="12" t="s">
        <v>162</v>
      </c>
      <c r="B42" s="13">
        <v>46</v>
      </c>
      <c r="C42" s="14"/>
      <c r="D42" s="14"/>
      <c r="E42" s="14"/>
      <c r="F42" s="14"/>
      <c r="G42" s="14"/>
      <c r="H42" s="14"/>
      <c r="I42" s="14"/>
      <c r="J42" s="14"/>
      <c r="K42" s="14"/>
      <c r="L42" s="14"/>
      <c r="M42" s="14"/>
      <c r="N42" s="14"/>
      <c r="O42" s="14"/>
      <c r="P42" s="14"/>
      <c r="Q42" s="14"/>
      <c r="R42" s="14"/>
      <c r="S42" s="14"/>
      <c r="T42" s="14"/>
      <c r="U42" s="14"/>
      <c r="V42" s="14"/>
      <c r="W42" s="14"/>
      <c r="X42" s="14"/>
      <c r="Y42" s="14"/>
      <c r="Z42" s="14"/>
      <c r="AA42" s="14"/>
      <c r="AB42" s="14"/>
      <c r="AC42" s="14"/>
      <c r="AD42" s="14"/>
      <c r="AE42" s="14"/>
      <c r="AF42" s="14"/>
      <c r="AG42" s="14"/>
      <c r="AH42" s="14"/>
      <c r="AI42" s="14"/>
      <c r="AJ42" s="14"/>
      <c r="AK42" s="14"/>
      <c r="AL42" s="14"/>
      <c r="AM42" s="14"/>
      <c r="AN42" s="14"/>
      <c r="AO42" s="14"/>
      <c r="AP42" s="14"/>
      <c r="AQ42" s="14"/>
      <c r="AR42" s="14"/>
      <c r="AS42" s="14"/>
      <c r="AT42" s="14"/>
      <c r="AU42" s="14"/>
      <c r="AV42" s="14"/>
      <c r="AW42" s="14"/>
      <c r="AX42" s="14"/>
      <c r="AY42" s="14"/>
      <c r="AZ42" s="14"/>
      <c r="BA42" s="15">
        <f>SUM(C42:AZ42)</f>
        <v>0</v>
      </c>
      <c r="BB42" s="13">
        <f>BA42*B42</f>
        <v>0</v>
      </c>
    </row>
    <row r="43" spans="1:54" ht="14.1" customHeight="1" x14ac:dyDescent="0.25">
      <c r="A43" s="12" t="s">
        <v>166</v>
      </c>
      <c r="B43" s="13">
        <v>97</v>
      </c>
      <c r="C43" s="14"/>
      <c r="D43" s="14"/>
      <c r="E43" s="14"/>
      <c r="F43" s="14"/>
      <c r="G43" s="14"/>
      <c r="H43" s="14"/>
      <c r="I43" s="14"/>
      <c r="J43" s="14"/>
      <c r="K43" s="14"/>
      <c r="L43" s="14"/>
      <c r="M43" s="14"/>
      <c r="N43" s="14"/>
      <c r="O43" s="14"/>
      <c r="P43" s="14"/>
      <c r="Q43" s="14"/>
      <c r="R43" s="14"/>
      <c r="S43" s="14"/>
      <c r="T43" s="14"/>
      <c r="U43" s="14"/>
      <c r="V43" s="14"/>
      <c r="W43" s="14"/>
      <c r="X43" s="14"/>
      <c r="Y43" s="14"/>
      <c r="Z43" s="14"/>
      <c r="AA43" s="14"/>
      <c r="AB43" s="14"/>
      <c r="AC43" s="14"/>
      <c r="AD43" s="14"/>
      <c r="AE43" s="14"/>
      <c r="AF43" s="14"/>
      <c r="AG43" s="14"/>
      <c r="AH43" s="14"/>
      <c r="AI43" s="14"/>
      <c r="AJ43" s="14"/>
      <c r="AK43" s="14"/>
      <c r="AL43" s="14"/>
      <c r="AM43" s="14"/>
      <c r="AN43" s="14"/>
      <c r="AO43" s="14"/>
      <c r="AP43" s="14"/>
      <c r="AQ43" s="14"/>
      <c r="AR43" s="14"/>
      <c r="AS43" s="14"/>
      <c r="AT43" s="14"/>
      <c r="AU43" s="14"/>
      <c r="AV43" s="14"/>
      <c r="AW43" s="14"/>
      <c r="AX43" s="14"/>
      <c r="AY43" s="14"/>
      <c r="AZ43" s="14"/>
      <c r="BA43" s="15">
        <f>SUM(C43:AZ43)</f>
        <v>0</v>
      </c>
      <c r="BB43" s="13">
        <f>BA43*B43</f>
        <v>0</v>
      </c>
    </row>
    <row r="44" spans="1:54" ht="14.1" customHeight="1" x14ac:dyDescent="0.25">
      <c r="A44" s="12" t="s">
        <v>167</v>
      </c>
      <c r="B44" s="13">
        <v>77</v>
      </c>
      <c r="C44" s="14"/>
      <c r="D44" s="14"/>
      <c r="E44" s="14"/>
      <c r="F44" s="14"/>
      <c r="G44" s="14"/>
      <c r="H44" s="14"/>
      <c r="I44" s="14"/>
      <c r="J44" s="14"/>
      <c r="K44" s="14"/>
      <c r="L44" s="14"/>
      <c r="M44" s="14"/>
      <c r="N44" s="14"/>
      <c r="O44" s="14"/>
      <c r="P44" s="14"/>
      <c r="Q44" s="14"/>
      <c r="R44" s="14"/>
      <c r="S44" s="14"/>
      <c r="T44" s="14"/>
      <c r="U44" s="14"/>
      <c r="V44" s="14"/>
      <c r="W44" s="14"/>
      <c r="X44" s="14"/>
      <c r="Y44" s="14"/>
      <c r="Z44" s="14"/>
      <c r="AA44" s="14"/>
      <c r="AB44" s="14"/>
      <c r="AC44" s="14"/>
      <c r="AD44" s="14"/>
      <c r="AE44" s="14"/>
      <c r="AF44" s="14"/>
      <c r="AG44" s="14"/>
      <c r="AH44" s="14"/>
      <c r="AI44" s="14"/>
      <c r="AJ44" s="14"/>
      <c r="AK44" s="14"/>
      <c r="AL44" s="14"/>
      <c r="AM44" s="14"/>
      <c r="AN44" s="14"/>
      <c r="AO44" s="14"/>
      <c r="AP44" s="14"/>
      <c r="AQ44" s="14"/>
      <c r="AR44" s="14"/>
      <c r="AS44" s="14"/>
      <c r="AT44" s="14"/>
      <c r="AU44" s="14"/>
      <c r="AV44" s="14"/>
      <c r="AW44" s="14"/>
      <c r="AX44" s="14"/>
      <c r="AY44" s="14"/>
      <c r="AZ44" s="14"/>
      <c r="BA44" s="15">
        <f>SUM(C44:AZ44)</f>
        <v>0</v>
      </c>
      <c r="BB44" s="13">
        <f>BA44*B44</f>
        <v>0</v>
      </c>
    </row>
    <row r="45" spans="1:54" ht="14.1" customHeight="1" x14ac:dyDescent="0.25">
      <c r="A45" s="12" t="s">
        <v>163</v>
      </c>
      <c r="B45" s="13">
        <v>57</v>
      </c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5">
        <f>SUM(C45:AZ45)</f>
        <v>0</v>
      </c>
      <c r="BB45" s="13">
        <f>BA45*B45</f>
        <v>0</v>
      </c>
    </row>
    <row r="46" spans="1:54" ht="14.1" customHeight="1" x14ac:dyDescent="0.25">
      <c r="A46" s="12" t="s">
        <v>165</v>
      </c>
      <c r="B46" s="13">
        <v>57</v>
      </c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5">
        <f>SUM(C46:AZ46)</f>
        <v>0</v>
      </c>
      <c r="BB46" s="13">
        <f>BA46*B46</f>
        <v>0</v>
      </c>
    </row>
    <row r="47" spans="1:54" ht="14.1" customHeight="1" x14ac:dyDescent="0.25">
      <c r="A47" s="12" t="s">
        <v>164</v>
      </c>
      <c r="B47" s="13">
        <v>57</v>
      </c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5">
        <f>SUM(C47:AZ47)</f>
        <v>0</v>
      </c>
      <c r="BB47" s="13">
        <f>BA47*B47</f>
        <v>0</v>
      </c>
    </row>
    <row r="48" spans="1:54" ht="14.1" customHeight="1" x14ac:dyDescent="0.25">
      <c r="A48" s="12" t="s">
        <v>169</v>
      </c>
      <c r="B48" s="13">
        <v>39</v>
      </c>
      <c r="C48" s="14"/>
      <c r="D48" s="14"/>
      <c r="E48" s="14"/>
      <c r="F48" s="14"/>
      <c r="G48" s="14"/>
      <c r="H48" s="14"/>
      <c r="I48" s="14"/>
      <c r="J48" s="14"/>
      <c r="K48" s="14"/>
      <c r="L48" s="14"/>
      <c r="M48" s="14"/>
      <c r="N48" s="14"/>
      <c r="O48" s="14"/>
      <c r="P48" s="14"/>
      <c r="Q48" s="14"/>
      <c r="R48" s="14"/>
      <c r="S48" s="14"/>
      <c r="T48" s="14"/>
      <c r="U48" s="14"/>
      <c r="V48" s="14"/>
      <c r="W48" s="14"/>
      <c r="X48" s="14"/>
      <c r="Y48" s="14"/>
      <c r="Z48" s="14"/>
      <c r="AA48" s="14"/>
      <c r="AB48" s="14"/>
      <c r="AC48" s="14"/>
      <c r="AD48" s="14"/>
      <c r="AE48" s="14"/>
      <c r="AF48" s="14"/>
      <c r="AG48" s="14"/>
      <c r="AH48" s="14"/>
      <c r="AI48" s="14"/>
      <c r="AJ48" s="14"/>
      <c r="AK48" s="14"/>
      <c r="AL48" s="14"/>
      <c r="AM48" s="14"/>
      <c r="AN48" s="14"/>
      <c r="AO48" s="14"/>
      <c r="AP48" s="14"/>
      <c r="AQ48" s="14"/>
      <c r="AR48" s="14"/>
      <c r="AS48" s="14"/>
      <c r="AT48" s="14"/>
      <c r="AU48" s="14"/>
      <c r="AV48" s="14"/>
      <c r="AW48" s="14"/>
      <c r="AX48" s="14"/>
      <c r="AY48" s="14"/>
      <c r="AZ48" s="14"/>
      <c r="BA48" s="15">
        <f>SUM(C48:AZ48)</f>
        <v>0</v>
      </c>
      <c r="BB48" s="13">
        <f>BA48*B48</f>
        <v>0</v>
      </c>
    </row>
    <row r="49" spans="1:54" ht="14.1" customHeight="1" x14ac:dyDescent="0.25">
      <c r="A49" s="12" t="s">
        <v>170</v>
      </c>
      <c r="B49" s="13">
        <v>39</v>
      </c>
      <c r="C49" s="14"/>
      <c r="D49" s="14"/>
      <c r="E49" s="14"/>
      <c r="F49" s="14"/>
      <c r="G49" s="14"/>
      <c r="H49" s="14"/>
      <c r="I49" s="14"/>
      <c r="J49" s="14"/>
      <c r="K49" s="14"/>
      <c r="L49" s="14"/>
      <c r="M49" s="14"/>
      <c r="N49" s="14"/>
      <c r="O49" s="14"/>
      <c r="P49" s="14"/>
      <c r="Q49" s="14"/>
      <c r="R49" s="14"/>
      <c r="S49" s="14"/>
      <c r="T49" s="14"/>
      <c r="U49" s="14"/>
      <c r="V49" s="14"/>
      <c r="W49" s="14"/>
      <c r="X49" s="14"/>
      <c r="Y49" s="14"/>
      <c r="Z49" s="14"/>
      <c r="AA49" s="14"/>
      <c r="AB49" s="14"/>
      <c r="AC49" s="14"/>
      <c r="AD49" s="14"/>
      <c r="AE49" s="14"/>
      <c r="AF49" s="14"/>
      <c r="AG49" s="14"/>
      <c r="AH49" s="14"/>
      <c r="AI49" s="14"/>
      <c r="AJ49" s="14"/>
      <c r="AK49" s="14"/>
      <c r="AL49" s="14"/>
      <c r="AM49" s="14"/>
      <c r="AN49" s="14"/>
      <c r="AO49" s="14"/>
      <c r="AP49" s="14"/>
      <c r="AQ49" s="14"/>
      <c r="AR49" s="14"/>
      <c r="AS49" s="14"/>
      <c r="AT49" s="14"/>
      <c r="AU49" s="14"/>
      <c r="AV49" s="14"/>
      <c r="AW49" s="14"/>
      <c r="AX49" s="14"/>
      <c r="AY49" s="14"/>
      <c r="AZ49" s="14"/>
      <c r="BA49" s="15">
        <f>SUM(C49:AZ49)</f>
        <v>0</v>
      </c>
      <c r="BB49" s="13">
        <f>BA49*B49</f>
        <v>0</v>
      </c>
    </row>
    <row r="50" spans="1:54" ht="14.1" customHeight="1" x14ac:dyDescent="0.25">
      <c r="A50" s="12" t="s">
        <v>171</v>
      </c>
      <c r="B50" s="13">
        <v>39</v>
      </c>
      <c r="C50" s="14"/>
      <c r="D50" s="14"/>
      <c r="E50" s="14"/>
      <c r="F50" s="14"/>
      <c r="G50" s="14"/>
      <c r="H50" s="14"/>
      <c r="I50" s="14"/>
      <c r="J50" s="14"/>
      <c r="K50" s="14"/>
      <c r="L50" s="14"/>
      <c r="M50" s="14"/>
      <c r="N50" s="14"/>
      <c r="O50" s="14"/>
      <c r="P50" s="14"/>
      <c r="Q50" s="14"/>
      <c r="R50" s="14"/>
      <c r="S50" s="14"/>
      <c r="T50" s="14"/>
      <c r="U50" s="14"/>
      <c r="V50" s="14"/>
      <c r="W50" s="14"/>
      <c r="X50" s="14"/>
      <c r="Y50" s="14"/>
      <c r="Z50" s="14"/>
      <c r="AA50" s="14"/>
      <c r="AB50" s="14"/>
      <c r="AC50" s="14"/>
      <c r="AD50" s="14"/>
      <c r="AE50" s="14"/>
      <c r="AF50" s="14"/>
      <c r="AG50" s="14"/>
      <c r="AH50" s="14"/>
      <c r="AI50" s="14"/>
      <c r="AJ50" s="14"/>
      <c r="AK50" s="14"/>
      <c r="AL50" s="14"/>
      <c r="AM50" s="14"/>
      <c r="AN50" s="14"/>
      <c r="AO50" s="14"/>
      <c r="AP50" s="14"/>
      <c r="AQ50" s="14"/>
      <c r="AR50" s="14"/>
      <c r="AS50" s="14"/>
      <c r="AT50" s="14"/>
      <c r="AU50" s="14"/>
      <c r="AV50" s="14"/>
      <c r="AW50" s="14"/>
      <c r="AX50" s="14"/>
      <c r="AY50" s="14"/>
      <c r="AZ50" s="14"/>
      <c r="BA50" s="15">
        <f>SUM(C50:AZ50)</f>
        <v>0</v>
      </c>
      <c r="BB50" s="13">
        <f>BA50*B50</f>
        <v>0</v>
      </c>
    </row>
    <row r="51" spans="1:54" ht="14.1" customHeight="1" x14ac:dyDescent="0.25">
      <c r="A51" s="12" t="s">
        <v>172</v>
      </c>
      <c r="B51" s="13">
        <v>39</v>
      </c>
      <c r="C51" s="14"/>
      <c r="D51" s="14"/>
      <c r="E51" s="14"/>
      <c r="F51" s="14"/>
      <c r="G51" s="14"/>
      <c r="H51" s="14"/>
      <c r="I51" s="14"/>
      <c r="J51" s="14"/>
      <c r="K51" s="14"/>
      <c r="L51" s="14"/>
      <c r="M51" s="14"/>
      <c r="N51" s="14"/>
      <c r="O51" s="14"/>
      <c r="P51" s="14"/>
      <c r="Q51" s="14"/>
      <c r="R51" s="14"/>
      <c r="S51" s="14"/>
      <c r="T51" s="14"/>
      <c r="U51" s="14"/>
      <c r="V51" s="14"/>
      <c r="W51" s="14"/>
      <c r="X51" s="14"/>
      <c r="Y51" s="14"/>
      <c r="Z51" s="14"/>
      <c r="AA51" s="14"/>
      <c r="AB51" s="14"/>
      <c r="AC51" s="14"/>
      <c r="AD51" s="14"/>
      <c r="AE51" s="14"/>
      <c r="AF51" s="14"/>
      <c r="AG51" s="14"/>
      <c r="AH51" s="14"/>
      <c r="AI51" s="14"/>
      <c r="AJ51" s="14"/>
      <c r="AK51" s="14"/>
      <c r="AL51" s="14"/>
      <c r="AM51" s="14"/>
      <c r="AN51" s="14"/>
      <c r="AO51" s="14"/>
      <c r="AP51" s="14"/>
      <c r="AQ51" s="14"/>
      <c r="AR51" s="14"/>
      <c r="AS51" s="14"/>
      <c r="AT51" s="14"/>
      <c r="AU51" s="14"/>
      <c r="AV51" s="14"/>
      <c r="AW51" s="14"/>
      <c r="AX51" s="14"/>
      <c r="AY51" s="14"/>
      <c r="AZ51" s="14"/>
      <c r="BA51" s="15">
        <f>SUM(C51:AZ51)</f>
        <v>0</v>
      </c>
      <c r="BB51" s="13">
        <f>BA51*B51</f>
        <v>0</v>
      </c>
    </row>
    <row r="52" spans="1:54" ht="14.1" customHeight="1" x14ac:dyDescent="0.25">
      <c r="A52" s="12" t="s">
        <v>179</v>
      </c>
      <c r="B52" s="13">
        <v>7</v>
      </c>
      <c r="C52" s="14"/>
      <c r="D52" s="14"/>
      <c r="E52" s="14"/>
      <c r="F52" s="14"/>
      <c r="G52" s="14"/>
      <c r="H52" s="14"/>
      <c r="I52" s="14"/>
      <c r="J52" s="14"/>
      <c r="K52" s="14"/>
      <c r="L52" s="14"/>
      <c r="M52" s="14"/>
      <c r="N52" s="14"/>
      <c r="O52" s="14"/>
      <c r="P52" s="14"/>
      <c r="Q52" s="14"/>
      <c r="R52" s="14"/>
      <c r="S52" s="14"/>
      <c r="T52" s="14"/>
      <c r="U52" s="14"/>
      <c r="V52" s="14"/>
      <c r="W52" s="14"/>
      <c r="X52" s="14"/>
      <c r="Y52" s="14"/>
      <c r="Z52" s="14"/>
      <c r="AA52" s="14"/>
      <c r="AB52" s="14"/>
      <c r="AC52" s="14"/>
      <c r="AD52" s="14"/>
      <c r="AE52" s="14"/>
      <c r="AF52" s="14"/>
      <c r="AG52" s="14"/>
      <c r="AH52" s="14"/>
      <c r="AI52" s="14"/>
      <c r="AJ52" s="14"/>
      <c r="AK52" s="14"/>
      <c r="AL52" s="14"/>
      <c r="AM52" s="14"/>
      <c r="AN52" s="14"/>
      <c r="AO52" s="14"/>
      <c r="AP52" s="14"/>
      <c r="AQ52" s="14"/>
      <c r="AR52" s="14"/>
      <c r="AS52" s="14"/>
      <c r="AT52" s="14"/>
      <c r="AU52" s="14"/>
      <c r="AV52" s="14"/>
      <c r="AW52" s="14"/>
      <c r="AX52" s="14"/>
      <c r="AY52" s="14"/>
      <c r="AZ52" s="14"/>
      <c r="BA52" s="15">
        <f>SUM(C52:AZ52)</f>
        <v>0</v>
      </c>
      <c r="BB52" s="13">
        <f>BA52*B52</f>
        <v>0</v>
      </c>
    </row>
    <row r="53" spans="1:54" ht="14.1" customHeight="1" x14ac:dyDescent="0.25">
      <c r="A53" s="12" t="s">
        <v>178</v>
      </c>
      <c r="B53" s="13">
        <v>7</v>
      </c>
      <c r="C53" s="14"/>
      <c r="D53" s="14"/>
      <c r="E53" s="14"/>
      <c r="F53" s="14"/>
      <c r="G53" s="14"/>
      <c r="H53" s="14"/>
      <c r="I53" s="14"/>
      <c r="J53" s="14"/>
      <c r="K53" s="14"/>
      <c r="L53" s="14"/>
      <c r="M53" s="14"/>
      <c r="N53" s="14"/>
      <c r="O53" s="14"/>
      <c r="P53" s="14"/>
      <c r="Q53" s="14"/>
      <c r="R53" s="14"/>
      <c r="S53" s="14"/>
      <c r="T53" s="14"/>
      <c r="U53" s="14"/>
      <c r="V53" s="14"/>
      <c r="W53" s="14"/>
      <c r="X53" s="14"/>
      <c r="Y53" s="14"/>
      <c r="Z53" s="14"/>
      <c r="AA53" s="14"/>
      <c r="AB53" s="14"/>
      <c r="AC53" s="14"/>
      <c r="AD53" s="14"/>
      <c r="AE53" s="14"/>
      <c r="AF53" s="14"/>
      <c r="AG53" s="14"/>
      <c r="AH53" s="14"/>
      <c r="AI53" s="14"/>
      <c r="AJ53" s="14"/>
      <c r="AK53" s="14"/>
      <c r="AL53" s="14"/>
      <c r="AM53" s="14"/>
      <c r="AN53" s="14"/>
      <c r="AO53" s="14"/>
      <c r="AP53" s="14"/>
      <c r="AQ53" s="14"/>
      <c r="AR53" s="14"/>
      <c r="AS53" s="14"/>
      <c r="AT53" s="14"/>
      <c r="AU53" s="14"/>
      <c r="AV53" s="14"/>
      <c r="AW53" s="14"/>
      <c r="AX53" s="14"/>
      <c r="AY53" s="14"/>
      <c r="AZ53" s="14"/>
      <c r="BA53" s="15">
        <f>SUM(C53:AZ53)</f>
        <v>0</v>
      </c>
      <c r="BB53" s="13">
        <f>BA53*B53</f>
        <v>0</v>
      </c>
    </row>
    <row r="54" spans="1:54" ht="14.1" customHeight="1" x14ac:dyDescent="0.25">
      <c r="A54" s="12" t="s">
        <v>176</v>
      </c>
      <c r="B54" s="13">
        <v>4</v>
      </c>
      <c r="C54" s="14"/>
      <c r="D54" s="14"/>
      <c r="E54" s="14"/>
      <c r="F54" s="14"/>
      <c r="G54" s="14"/>
      <c r="H54" s="14"/>
      <c r="I54" s="14"/>
      <c r="J54" s="14"/>
      <c r="K54" s="14"/>
      <c r="L54" s="14"/>
      <c r="M54" s="14"/>
      <c r="N54" s="14"/>
      <c r="O54" s="14"/>
      <c r="P54" s="14"/>
      <c r="Q54" s="14"/>
      <c r="R54" s="14"/>
      <c r="S54" s="14"/>
      <c r="T54" s="14"/>
      <c r="U54" s="14"/>
      <c r="V54" s="14"/>
      <c r="W54" s="14"/>
      <c r="X54" s="14"/>
      <c r="Y54" s="14"/>
      <c r="Z54" s="14"/>
      <c r="AA54" s="14"/>
      <c r="AB54" s="14"/>
      <c r="AC54" s="14"/>
      <c r="AD54" s="14"/>
      <c r="AE54" s="14"/>
      <c r="AF54" s="14"/>
      <c r="AG54" s="14"/>
      <c r="AH54" s="14"/>
      <c r="AI54" s="14"/>
      <c r="AJ54" s="14"/>
      <c r="AK54" s="14"/>
      <c r="AL54" s="14"/>
      <c r="AM54" s="14"/>
      <c r="AN54" s="14"/>
      <c r="AO54" s="14"/>
      <c r="AP54" s="14"/>
      <c r="AQ54" s="14"/>
      <c r="AR54" s="14"/>
      <c r="AS54" s="14"/>
      <c r="AT54" s="14"/>
      <c r="AU54" s="14"/>
      <c r="AV54" s="14"/>
      <c r="AW54" s="14"/>
      <c r="AX54" s="14"/>
      <c r="AY54" s="14"/>
      <c r="AZ54" s="14"/>
      <c r="BA54" s="15">
        <f>SUM(C54:AZ54)</f>
        <v>0</v>
      </c>
      <c r="BB54" s="13">
        <f>BA54*B54</f>
        <v>0</v>
      </c>
    </row>
    <row r="55" spans="1:54" ht="14.1" customHeight="1" x14ac:dyDescent="0.25">
      <c r="A55" s="12" t="s">
        <v>177</v>
      </c>
      <c r="B55" s="13">
        <v>4</v>
      </c>
      <c r="C55" s="14"/>
      <c r="D55" s="14"/>
      <c r="E55" s="14"/>
      <c r="F55" s="14"/>
      <c r="G55" s="14"/>
      <c r="H55" s="14"/>
      <c r="I55" s="14"/>
      <c r="J55" s="14"/>
      <c r="K55" s="14"/>
      <c r="L55" s="14"/>
      <c r="M55" s="14"/>
      <c r="N55" s="14"/>
      <c r="O55" s="14"/>
      <c r="P55" s="14"/>
      <c r="Q55" s="14"/>
      <c r="R55" s="14"/>
      <c r="S55" s="14"/>
      <c r="T55" s="14"/>
      <c r="U55" s="14"/>
      <c r="V55" s="14"/>
      <c r="W55" s="14"/>
      <c r="X55" s="14"/>
      <c r="Y55" s="14"/>
      <c r="Z55" s="14"/>
      <c r="AA55" s="14"/>
      <c r="AB55" s="14"/>
      <c r="AC55" s="14"/>
      <c r="AD55" s="14"/>
      <c r="AE55" s="14"/>
      <c r="AF55" s="14"/>
      <c r="AG55" s="14"/>
      <c r="AH55" s="14"/>
      <c r="AI55" s="14"/>
      <c r="AJ55" s="14"/>
      <c r="AK55" s="14"/>
      <c r="AL55" s="14"/>
      <c r="AM55" s="14"/>
      <c r="AN55" s="14"/>
      <c r="AO55" s="14"/>
      <c r="AP55" s="14"/>
      <c r="AQ55" s="14"/>
      <c r="AR55" s="14"/>
      <c r="AS55" s="14"/>
      <c r="AT55" s="14"/>
      <c r="AU55" s="14"/>
      <c r="AV55" s="14"/>
      <c r="AW55" s="14"/>
      <c r="AX55" s="14"/>
      <c r="AY55" s="14"/>
      <c r="AZ55" s="14"/>
      <c r="BA55" s="15">
        <f>SUM(C55:AZ55)</f>
        <v>0</v>
      </c>
      <c r="BB55" s="13">
        <f>BA55*B55</f>
        <v>0</v>
      </c>
    </row>
    <row r="56" spans="1:54" ht="14.1" customHeight="1" thickBot="1" x14ac:dyDescent="0.3">
      <c r="A56" s="16" t="s">
        <v>180</v>
      </c>
      <c r="B56" s="18"/>
      <c r="C56" s="11"/>
      <c r="D56" s="11"/>
      <c r="E56" s="11"/>
      <c r="F56" s="11"/>
      <c r="G56" s="11"/>
      <c r="H56" s="11"/>
      <c r="I56" s="11"/>
      <c r="J56" s="11"/>
      <c r="K56" s="11"/>
      <c r="L56" s="11"/>
      <c r="M56" s="11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  <c r="AA56" s="11"/>
      <c r="AB56" s="11"/>
      <c r="AC56" s="11"/>
      <c r="AD56" s="11"/>
      <c r="AE56" s="11"/>
      <c r="AF56" s="11"/>
      <c r="AG56" s="11"/>
      <c r="AH56" s="11"/>
      <c r="AI56" s="11"/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</row>
    <row r="57" spans="1:54" ht="14.1" customHeight="1" x14ac:dyDescent="0.25">
      <c r="A57" s="17" t="s">
        <v>181</v>
      </c>
      <c r="B57" s="19">
        <v>296</v>
      </c>
      <c r="C57" s="14"/>
      <c r="D57" s="14"/>
      <c r="E57" s="14"/>
      <c r="F57" s="14"/>
      <c r="G57" s="14"/>
      <c r="H57" s="14"/>
      <c r="I57" s="14"/>
      <c r="J57" s="14"/>
      <c r="K57" s="14"/>
      <c r="L57" s="14"/>
      <c r="M57" s="14"/>
      <c r="N57" s="14"/>
      <c r="O57" s="14"/>
      <c r="P57" s="14"/>
      <c r="Q57" s="14"/>
      <c r="R57" s="14"/>
      <c r="S57" s="14"/>
      <c r="T57" s="14"/>
      <c r="U57" s="14"/>
      <c r="V57" s="14"/>
      <c r="W57" s="14"/>
      <c r="X57" s="14"/>
      <c r="Y57" s="14"/>
      <c r="Z57" s="14"/>
      <c r="AA57" s="14"/>
      <c r="AB57" s="14"/>
      <c r="AC57" s="14"/>
      <c r="AD57" s="14"/>
      <c r="AE57" s="14"/>
      <c r="AF57" s="14"/>
      <c r="AG57" s="14"/>
      <c r="AH57" s="14"/>
      <c r="AI57" s="14"/>
      <c r="AJ57" s="14"/>
      <c r="AK57" s="14"/>
      <c r="AL57" s="14"/>
      <c r="AM57" s="14"/>
      <c r="AN57" s="14"/>
      <c r="AO57" s="14"/>
      <c r="AP57" s="14"/>
      <c r="AQ57" s="14"/>
      <c r="AR57" s="14"/>
      <c r="AS57" s="14"/>
      <c r="AT57" s="14"/>
      <c r="AU57" s="14"/>
      <c r="AV57" s="14"/>
      <c r="AW57" s="14"/>
      <c r="AX57" s="14"/>
      <c r="AY57" s="14"/>
      <c r="AZ57" s="14"/>
      <c r="BA57" s="20">
        <f>SUM(C57:AZ57)</f>
        <v>0</v>
      </c>
      <c r="BB57" s="21">
        <f>BA57*B57</f>
        <v>0</v>
      </c>
    </row>
    <row r="58" spans="1:54" ht="14.1" customHeight="1" x14ac:dyDescent="0.25">
      <c r="A58" s="22" t="s">
        <v>182</v>
      </c>
      <c r="B58" s="23"/>
      <c r="C58" s="26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</row>
    <row r="59" spans="1:54" ht="14.1" customHeight="1" x14ac:dyDescent="0.25">
      <c r="A59" s="24" t="s">
        <v>130</v>
      </c>
      <c r="B59" s="25"/>
      <c r="C59" s="27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</row>
    <row r="60" spans="1:54" ht="14.1" customHeight="1" thickBot="1" x14ac:dyDescent="0.3">
      <c r="A60" s="28" t="s">
        <v>42</v>
      </c>
      <c r="B60" s="29"/>
      <c r="C60" s="27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</row>
    <row r="61" spans="1:54" ht="14.1" customHeight="1" x14ac:dyDescent="0.25">
      <c r="A61" s="17" t="s">
        <v>183</v>
      </c>
      <c r="B61" s="19">
        <v>395</v>
      </c>
      <c r="C61" s="14"/>
      <c r="D61" s="14"/>
      <c r="E61" s="14"/>
      <c r="F61" s="14"/>
      <c r="G61" s="14"/>
      <c r="H61" s="14"/>
      <c r="I61" s="14"/>
      <c r="J61" s="14"/>
      <c r="K61" s="14"/>
      <c r="L61" s="14"/>
      <c r="M61" s="14"/>
      <c r="N61" s="14"/>
      <c r="O61" s="14"/>
      <c r="P61" s="14"/>
      <c r="Q61" s="14"/>
      <c r="R61" s="14"/>
      <c r="S61" s="14"/>
      <c r="T61" s="14"/>
      <c r="U61" s="14"/>
      <c r="V61" s="14"/>
      <c r="W61" s="14"/>
      <c r="X61" s="14"/>
      <c r="Y61" s="14"/>
      <c r="Z61" s="14"/>
      <c r="AA61" s="14"/>
      <c r="AB61" s="14"/>
      <c r="AC61" s="14"/>
      <c r="AD61" s="14"/>
      <c r="AE61" s="14"/>
      <c r="AF61" s="14"/>
      <c r="AG61" s="14"/>
      <c r="AH61" s="14"/>
      <c r="AI61" s="14"/>
      <c r="AJ61" s="14"/>
      <c r="AK61" s="14"/>
      <c r="AL61" s="14"/>
      <c r="AM61" s="14"/>
      <c r="AN61" s="14"/>
      <c r="AO61" s="14"/>
      <c r="AP61" s="14"/>
      <c r="AQ61" s="14"/>
      <c r="AR61" s="14"/>
      <c r="AS61" s="14"/>
      <c r="AT61" s="14"/>
      <c r="AU61" s="14"/>
      <c r="AV61" s="14"/>
      <c r="AW61" s="14"/>
      <c r="AX61" s="14"/>
      <c r="AY61" s="14"/>
      <c r="AZ61" s="14"/>
      <c r="BA61" s="20">
        <f>SUM(C61:AZ61)</f>
        <v>0</v>
      </c>
      <c r="BB61" s="21">
        <f>BA61*B61</f>
        <v>0</v>
      </c>
    </row>
    <row r="62" spans="1:54" ht="14.1" customHeight="1" x14ac:dyDescent="0.25">
      <c r="A62" s="22" t="s">
        <v>10</v>
      </c>
      <c r="B62" s="23"/>
      <c r="C62" s="26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</row>
    <row r="63" spans="1:54" ht="14.1" customHeight="1" x14ac:dyDescent="0.25">
      <c r="A63" s="24" t="s">
        <v>259</v>
      </c>
      <c r="B63" s="25"/>
      <c r="C63" s="27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</row>
    <row r="64" spans="1:54" ht="14.1" customHeight="1" thickBot="1" x14ac:dyDescent="0.3">
      <c r="A64" s="28" t="s">
        <v>261</v>
      </c>
      <c r="B64" s="29"/>
      <c r="C64" s="27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</row>
    <row r="65" spans="1:54" ht="14.1" customHeight="1" x14ac:dyDescent="0.25">
      <c r="A65" s="17" t="s">
        <v>186</v>
      </c>
      <c r="B65" s="19">
        <v>461</v>
      </c>
      <c r="C65" s="14"/>
      <c r="D65" s="14"/>
      <c r="E65" s="14"/>
      <c r="F65" s="14"/>
      <c r="G65" s="14"/>
      <c r="H65" s="14"/>
      <c r="I65" s="14"/>
      <c r="J65" s="14"/>
      <c r="K65" s="14"/>
      <c r="L65" s="14"/>
      <c r="M65" s="14"/>
      <c r="N65" s="14"/>
      <c r="O65" s="14"/>
      <c r="P65" s="14"/>
      <c r="Q65" s="14"/>
      <c r="R65" s="14"/>
      <c r="S65" s="14"/>
      <c r="T65" s="14"/>
      <c r="U65" s="14"/>
      <c r="V65" s="14"/>
      <c r="W65" s="14"/>
      <c r="X65" s="14"/>
      <c r="Y65" s="14"/>
      <c r="Z65" s="14"/>
      <c r="AA65" s="14"/>
      <c r="AB65" s="14"/>
      <c r="AC65" s="14"/>
      <c r="AD65" s="14"/>
      <c r="AE65" s="14"/>
      <c r="AF65" s="14"/>
      <c r="AG65" s="14"/>
      <c r="AH65" s="14"/>
      <c r="AI65" s="14"/>
      <c r="AJ65" s="14"/>
      <c r="AK65" s="14"/>
      <c r="AL65" s="14"/>
      <c r="AM65" s="14"/>
      <c r="AN65" s="14"/>
      <c r="AO65" s="14"/>
      <c r="AP65" s="14"/>
      <c r="AQ65" s="14"/>
      <c r="AR65" s="14"/>
      <c r="AS65" s="14"/>
      <c r="AT65" s="14"/>
      <c r="AU65" s="14"/>
      <c r="AV65" s="14"/>
      <c r="AW65" s="14"/>
      <c r="AX65" s="14"/>
      <c r="AY65" s="14"/>
      <c r="AZ65" s="14"/>
      <c r="BA65" s="20">
        <f>SUM(C65:AZ65)</f>
        <v>0</v>
      </c>
      <c r="BB65" s="21">
        <f>BA65*B65</f>
        <v>0</v>
      </c>
    </row>
    <row r="66" spans="1:54" ht="14.1" customHeight="1" x14ac:dyDescent="0.25">
      <c r="A66" s="22" t="s">
        <v>187</v>
      </c>
      <c r="B66" s="23"/>
      <c r="C66" s="26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</row>
    <row r="67" spans="1:54" ht="14.1" customHeight="1" x14ac:dyDescent="0.25">
      <c r="A67" s="24" t="s">
        <v>10</v>
      </c>
      <c r="B67" s="25"/>
      <c r="C67" s="27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</row>
    <row r="68" spans="1:54" ht="14.1" customHeight="1" x14ac:dyDescent="0.25">
      <c r="A68" s="24" t="s">
        <v>259</v>
      </c>
      <c r="B68" s="25"/>
      <c r="C68" s="27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</row>
    <row r="69" spans="1:54" ht="14.1" customHeight="1" thickBot="1" x14ac:dyDescent="0.3">
      <c r="A69" s="28" t="s">
        <v>261</v>
      </c>
      <c r="B69" s="29"/>
      <c r="C69" s="27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</row>
    <row r="70" spans="1:54" ht="14.1" customHeight="1" x14ac:dyDescent="0.25">
      <c r="A70" s="17" t="s">
        <v>188</v>
      </c>
      <c r="B70" s="19">
        <v>432</v>
      </c>
      <c r="C70" s="14"/>
      <c r="D70" s="14"/>
      <c r="E70" s="14"/>
      <c r="F70" s="14"/>
      <c r="G70" s="14"/>
      <c r="H70" s="14"/>
      <c r="I70" s="14"/>
      <c r="J70" s="14"/>
      <c r="K70" s="14"/>
      <c r="L70" s="14"/>
      <c r="M70" s="14"/>
      <c r="N70" s="14"/>
      <c r="O70" s="14"/>
      <c r="P70" s="14"/>
      <c r="Q70" s="14"/>
      <c r="R70" s="14"/>
      <c r="S70" s="14"/>
      <c r="T70" s="14"/>
      <c r="U70" s="14"/>
      <c r="V70" s="14"/>
      <c r="W70" s="14"/>
      <c r="X70" s="14"/>
      <c r="Y70" s="14"/>
      <c r="Z70" s="14"/>
      <c r="AA70" s="14"/>
      <c r="AB70" s="14"/>
      <c r="AC70" s="14"/>
      <c r="AD70" s="14"/>
      <c r="AE70" s="14"/>
      <c r="AF70" s="14"/>
      <c r="AG70" s="14"/>
      <c r="AH70" s="14"/>
      <c r="AI70" s="14"/>
      <c r="AJ70" s="14"/>
      <c r="AK70" s="14"/>
      <c r="AL70" s="14"/>
      <c r="AM70" s="14"/>
      <c r="AN70" s="14"/>
      <c r="AO70" s="14"/>
      <c r="AP70" s="14"/>
      <c r="AQ70" s="14"/>
      <c r="AR70" s="14"/>
      <c r="AS70" s="14"/>
      <c r="AT70" s="14"/>
      <c r="AU70" s="14"/>
      <c r="AV70" s="14"/>
      <c r="AW70" s="14"/>
      <c r="AX70" s="14"/>
      <c r="AY70" s="14"/>
      <c r="AZ70" s="14"/>
      <c r="BA70" s="20">
        <f>SUM(C70:AZ70)</f>
        <v>0</v>
      </c>
      <c r="BB70" s="21">
        <f>BA70*B70</f>
        <v>0</v>
      </c>
    </row>
    <row r="71" spans="1:54" ht="14.1" customHeight="1" x14ac:dyDescent="0.25">
      <c r="A71" s="22" t="s">
        <v>45</v>
      </c>
      <c r="B71" s="23"/>
      <c r="C71" s="26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</row>
    <row r="72" spans="1:54" ht="14.1" customHeight="1" x14ac:dyDescent="0.25">
      <c r="A72" s="24" t="s">
        <v>19</v>
      </c>
      <c r="B72" s="25"/>
      <c r="C72" s="27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</row>
    <row r="73" spans="1:54" ht="14.1" customHeight="1" x14ac:dyDescent="0.25">
      <c r="A73" s="24" t="s">
        <v>245</v>
      </c>
      <c r="B73" s="25"/>
      <c r="C73" s="27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</row>
    <row r="74" spans="1:54" ht="14.1" customHeight="1" thickBot="1" x14ac:dyDescent="0.3">
      <c r="A74" s="28" t="s">
        <v>260</v>
      </c>
      <c r="B74" s="29"/>
      <c r="C74" s="27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</row>
    <row r="75" spans="1:54" ht="14.1" customHeight="1" x14ac:dyDescent="0.25">
      <c r="A75" s="17" t="s">
        <v>191</v>
      </c>
      <c r="B75" s="19">
        <v>361</v>
      </c>
      <c r="C75" s="14"/>
      <c r="D75" s="14"/>
      <c r="E75" s="14"/>
      <c r="F75" s="14"/>
      <c r="G75" s="14"/>
      <c r="H75" s="14"/>
      <c r="I75" s="14"/>
      <c r="J75" s="14"/>
      <c r="K75" s="14"/>
      <c r="L75" s="14"/>
      <c r="M75" s="14"/>
      <c r="N75" s="14"/>
      <c r="O75" s="14"/>
      <c r="P75" s="14"/>
      <c r="Q75" s="14"/>
      <c r="R75" s="14"/>
      <c r="S75" s="14"/>
      <c r="T75" s="14"/>
      <c r="U75" s="14"/>
      <c r="V75" s="14"/>
      <c r="W75" s="14"/>
      <c r="X75" s="14"/>
      <c r="Y75" s="14"/>
      <c r="Z75" s="14"/>
      <c r="AA75" s="14"/>
      <c r="AB75" s="14"/>
      <c r="AC75" s="14"/>
      <c r="AD75" s="14"/>
      <c r="AE75" s="14"/>
      <c r="AF75" s="14"/>
      <c r="AG75" s="14"/>
      <c r="AH75" s="14"/>
      <c r="AI75" s="14"/>
      <c r="AJ75" s="14"/>
      <c r="AK75" s="14"/>
      <c r="AL75" s="14"/>
      <c r="AM75" s="14"/>
      <c r="AN75" s="14"/>
      <c r="AO75" s="14"/>
      <c r="AP75" s="14"/>
      <c r="AQ75" s="14"/>
      <c r="AR75" s="14"/>
      <c r="AS75" s="14"/>
      <c r="AT75" s="14"/>
      <c r="AU75" s="14"/>
      <c r="AV75" s="14"/>
      <c r="AW75" s="14"/>
      <c r="AX75" s="14"/>
      <c r="AY75" s="14"/>
      <c r="AZ75" s="14"/>
      <c r="BA75" s="20">
        <f>SUM(C75:AZ75)</f>
        <v>0</v>
      </c>
      <c r="BB75" s="21">
        <f>BA75*B75</f>
        <v>0</v>
      </c>
    </row>
    <row r="76" spans="1:54" ht="14.1" customHeight="1" x14ac:dyDescent="0.25">
      <c r="A76" s="22" t="s">
        <v>63</v>
      </c>
      <c r="B76" s="23"/>
      <c r="C76" s="26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</row>
    <row r="77" spans="1:54" ht="14.1" customHeight="1" thickBot="1" x14ac:dyDescent="0.3">
      <c r="A77" s="28" t="s">
        <v>258</v>
      </c>
      <c r="B77" s="29"/>
      <c r="C77" s="27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</row>
    <row r="78" spans="1:54" ht="14.1" customHeight="1" x14ac:dyDescent="0.25">
      <c r="A78" s="17" t="s">
        <v>194</v>
      </c>
      <c r="B78" s="19">
        <v>276</v>
      </c>
      <c r="C78" s="14"/>
      <c r="D78" s="14"/>
      <c r="E78" s="14"/>
      <c r="F78" s="14"/>
      <c r="G78" s="14"/>
      <c r="H78" s="14"/>
      <c r="I78" s="14"/>
      <c r="J78" s="14"/>
      <c r="K78" s="14"/>
      <c r="L78" s="14"/>
      <c r="M78" s="14"/>
      <c r="N78" s="14"/>
      <c r="O78" s="14"/>
      <c r="P78" s="14"/>
      <c r="Q78" s="14"/>
      <c r="R78" s="14"/>
      <c r="S78" s="14"/>
      <c r="T78" s="14"/>
      <c r="U78" s="14"/>
      <c r="V78" s="14"/>
      <c r="W78" s="14"/>
      <c r="X78" s="14"/>
      <c r="Y78" s="14"/>
      <c r="Z78" s="14"/>
      <c r="AA78" s="14"/>
      <c r="AB78" s="14"/>
      <c r="AC78" s="14"/>
      <c r="AD78" s="14"/>
      <c r="AE78" s="14"/>
      <c r="AF78" s="14"/>
      <c r="AG78" s="14"/>
      <c r="AH78" s="14"/>
      <c r="AI78" s="14"/>
      <c r="AJ78" s="14"/>
      <c r="AK78" s="14"/>
      <c r="AL78" s="14"/>
      <c r="AM78" s="14"/>
      <c r="AN78" s="14"/>
      <c r="AO78" s="14"/>
      <c r="AP78" s="14"/>
      <c r="AQ78" s="14"/>
      <c r="AR78" s="14"/>
      <c r="AS78" s="14"/>
      <c r="AT78" s="14"/>
      <c r="AU78" s="14"/>
      <c r="AV78" s="14"/>
      <c r="AW78" s="14"/>
      <c r="AX78" s="14"/>
      <c r="AY78" s="14"/>
      <c r="AZ78" s="14"/>
      <c r="BA78" s="20">
        <f>SUM(C78:AZ78)</f>
        <v>0</v>
      </c>
      <c r="BB78" s="21">
        <f>BA78*B78</f>
        <v>0</v>
      </c>
    </row>
    <row r="79" spans="1:54" ht="14.1" customHeight="1" x14ac:dyDescent="0.25">
      <c r="A79" s="22" t="s">
        <v>52</v>
      </c>
      <c r="B79" s="23"/>
      <c r="C79" s="26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</row>
    <row r="80" spans="1:54" ht="14.1" customHeight="1" thickBot="1" x14ac:dyDescent="0.3">
      <c r="A80" s="28" t="s">
        <v>8</v>
      </c>
      <c r="B80" s="29"/>
      <c r="C80" s="27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</row>
    <row r="81" spans="1:54" ht="14.1" customHeight="1" x14ac:dyDescent="0.25">
      <c r="A81" s="17" t="s">
        <v>195</v>
      </c>
      <c r="B81" s="19">
        <v>300</v>
      </c>
      <c r="C81" s="14"/>
      <c r="D81" s="14"/>
      <c r="E81" s="14"/>
      <c r="F81" s="14"/>
      <c r="G81" s="14"/>
      <c r="H81" s="14"/>
      <c r="I81" s="14"/>
      <c r="J81" s="14"/>
      <c r="K81" s="14"/>
      <c r="L81" s="14"/>
      <c r="M81" s="14"/>
      <c r="N81" s="14"/>
      <c r="O81" s="14"/>
      <c r="P81" s="14"/>
      <c r="Q81" s="14"/>
      <c r="R81" s="14"/>
      <c r="S81" s="14"/>
      <c r="T81" s="14"/>
      <c r="U81" s="14"/>
      <c r="V81" s="14"/>
      <c r="W81" s="14"/>
      <c r="X81" s="14"/>
      <c r="Y81" s="14"/>
      <c r="Z81" s="14"/>
      <c r="AA81" s="14"/>
      <c r="AB81" s="14"/>
      <c r="AC81" s="14"/>
      <c r="AD81" s="14"/>
      <c r="AE81" s="14"/>
      <c r="AF81" s="14"/>
      <c r="AG81" s="14"/>
      <c r="AH81" s="14"/>
      <c r="AI81" s="14"/>
      <c r="AJ81" s="14"/>
      <c r="AK81" s="14"/>
      <c r="AL81" s="14"/>
      <c r="AM81" s="14"/>
      <c r="AN81" s="14"/>
      <c r="AO81" s="14"/>
      <c r="AP81" s="14"/>
      <c r="AQ81" s="14"/>
      <c r="AR81" s="14"/>
      <c r="AS81" s="14"/>
      <c r="AT81" s="14"/>
      <c r="AU81" s="14"/>
      <c r="AV81" s="14"/>
      <c r="AW81" s="14"/>
      <c r="AX81" s="14"/>
      <c r="AY81" s="14"/>
      <c r="AZ81" s="14"/>
      <c r="BA81" s="20">
        <f>SUM(C81:AZ81)</f>
        <v>0</v>
      </c>
      <c r="BB81" s="21">
        <f>BA81*B81</f>
        <v>0</v>
      </c>
    </row>
    <row r="82" spans="1:54" ht="14.1" customHeight="1" x14ac:dyDescent="0.25">
      <c r="A82" s="22" t="s">
        <v>259</v>
      </c>
      <c r="B82" s="23"/>
      <c r="C82" s="26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</row>
    <row r="83" spans="1:54" ht="14.1" customHeight="1" thickBot="1" x14ac:dyDescent="0.3">
      <c r="A83" s="28" t="s">
        <v>261</v>
      </c>
      <c r="B83" s="29"/>
      <c r="C83" s="27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</row>
    <row r="84" spans="1:54" x14ac:dyDescent="0.25">
      <c r="A84" s="30"/>
      <c r="B84" s="30"/>
      <c r="C84" s="15">
        <f>SUMPRODUCT(C9:C81,$B$9:$B$81)</f>
        <v>0</v>
      </c>
      <c r="D84" s="15">
        <f>SUMPRODUCT(D9:D81,$B$9:$B$81)</f>
        <v>0</v>
      </c>
      <c r="E84" s="15">
        <f>SUMPRODUCT(E9:E81,$B$9:$B$81)</f>
        <v>0</v>
      </c>
      <c r="F84" s="15">
        <f>SUMPRODUCT(F9:F81,$B$9:$B$81)</f>
        <v>0</v>
      </c>
      <c r="G84" s="15">
        <f>SUMPRODUCT(G9:G81,$B$9:$B$81)</f>
        <v>0</v>
      </c>
      <c r="H84" s="15">
        <f>SUMPRODUCT(H9:H81,$B$9:$B$81)</f>
        <v>0</v>
      </c>
      <c r="I84" s="15">
        <f>SUMPRODUCT(I9:I81,$B$9:$B$81)</f>
        <v>0</v>
      </c>
      <c r="J84" s="15">
        <f>SUMPRODUCT(J9:J81,$B$9:$B$81)</f>
        <v>0</v>
      </c>
      <c r="K84" s="15">
        <f>SUMPRODUCT(K9:K81,$B$9:$B$81)</f>
        <v>0</v>
      </c>
      <c r="L84" s="15">
        <f>SUMPRODUCT(L9:L81,$B$9:$B$81)</f>
        <v>0</v>
      </c>
      <c r="M84" s="15">
        <f>SUMPRODUCT(M9:M81,$B$9:$B$81)</f>
        <v>0</v>
      </c>
      <c r="N84" s="15">
        <f>SUMPRODUCT(N9:N81,$B$9:$B$81)</f>
        <v>0</v>
      </c>
      <c r="O84" s="15">
        <f>SUMPRODUCT(O9:O81,$B$9:$B$81)</f>
        <v>0</v>
      </c>
      <c r="P84" s="15">
        <f>SUMPRODUCT(P9:P81,$B$9:$B$81)</f>
        <v>0</v>
      </c>
      <c r="Q84" s="15">
        <f>SUMPRODUCT(Q9:Q81,$B$9:$B$81)</f>
        <v>0</v>
      </c>
      <c r="R84" s="15">
        <f>SUMPRODUCT(R9:R81,$B$9:$B$81)</f>
        <v>0</v>
      </c>
      <c r="S84" s="15">
        <f>SUMPRODUCT(S9:S81,$B$9:$B$81)</f>
        <v>0</v>
      </c>
      <c r="T84" s="15">
        <f>SUMPRODUCT(T9:T81,$B$9:$B$81)</f>
        <v>0</v>
      </c>
      <c r="U84" s="15">
        <f>SUMPRODUCT(U9:U81,$B$9:$B$81)</f>
        <v>0</v>
      </c>
      <c r="V84" s="15">
        <f>SUMPRODUCT(V9:V81,$B$9:$B$81)</f>
        <v>0</v>
      </c>
      <c r="W84" s="15">
        <f>SUMPRODUCT(W9:W81,$B$9:$B$81)</f>
        <v>0</v>
      </c>
      <c r="X84" s="15">
        <f>SUMPRODUCT(X9:X81,$B$9:$B$81)</f>
        <v>0</v>
      </c>
      <c r="Y84" s="15">
        <f>SUMPRODUCT(Y9:Y81,$B$9:$B$81)</f>
        <v>0</v>
      </c>
      <c r="Z84" s="15">
        <f>SUMPRODUCT(Z9:Z81,$B$9:$B$81)</f>
        <v>0</v>
      </c>
      <c r="AA84" s="15">
        <f>SUMPRODUCT(AA9:AA81,$B$9:$B$81)</f>
        <v>0</v>
      </c>
      <c r="AB84" s="15">
        <f>SUMPRODUCT(AB9:AB81,$B$9:$B$81)</f>
        <v>0</v>
      </c>
      <c r="AC84" s="15">
        <f>SUMPRODUCT(AC9:AC81,$B$9:$B$81)</f>
        <v>0</v>
      </c>
      <c r="AD84" s="15">
        <f>SUMPRODUCT(AD9:AD81,$B$9:$B$81)</f>
        <v>0</v>
      </c>
      <c r="AE84" s="15">
        <f>SUMPRODUCT(AE9:AE81,$B$9:$B$81)</f>
        <v>0</v>
      </c>
      <c r="AF84" s="15">
        <f>SUMPRODUCT(AF9:AF81,$B$9:$B$81)</f>
        <v>0</v>
      </c>
      <c r="AG84" s="15">
        <f>SUMPRODUCT(AG9:AG81,$B$9:$B$81)</f>
        <v>0</v>
      </c>
      <c r="AH84" s="15">
        <f>SUMPRODUCT(AH9:AH81,$B$9:$B$81)</f>
        <v>0</v>
      </c>
      <c r="AI84" s="15">
        <f>SUMPRODUCT(AI9:AI81,$B$9:$B$81)</f>
        <v>0</v>
      </c>
      <c r="AJ84" s="15">
        <f>SUMPRODUCT(AJ9:AJ81,$B$9:$B$81)</f>
        <v>0</v>
      </c>
      <c r="AK84" s="15">
        <f>SUMPRODUCT(AK9:AK81,$B$9:$B$81)</f>
        <v>0</v>
      </c>
      <c r="AL84" s="15">
        <f>SUMPRODUCT(AL9:AL81,$B$9:$B$81)</f>
        <v>0</v>
      </c>
      <c r="AM84" s="15">
        <f>SUMPRODUCT(AM9:AM81,$B$9:$B$81)</f>
        <v>0</v>
      </c>
      <c r="AN84" s="15">
        <f>SUMPRODUCT(AN9:AN81,$B$9:$B$81)</f>
        <v>0</v>
      </c>
      <c r="AO84" s="15">
        <f>SUMPRODUCT(AO9:AO81,$B$9:$B$81)</f>
        <v>0</v>
      </c>
      <c r="AP84" s="15">
        <f>SUMPRODUCT(AP9:AP81,$B$9:$B$81)</f>
        <v>0</v>
      </c>
      <c r="AQ84" s="15">
        <f>SUMPRODUCT(AQ9:AQ81,$B$9:$B$81)</f>
        <v>0</v>
      </c>
      <c r="AR84" s="15">
        <f>SUMPRODUCT(AR9:AR81,$B$9:$B$81)</f>
        <v>0</v>
      </c>
      <c r="AS84" s="15">
        <f>SUMPRODUCT(AS9:AS81,$B$9:$B$81)</f>
        <v>0</v>
      </c>
      <c r="AT84" s="15">
        <f>SUMPRODUCT(AT9:AT81,$B$9:$B$81)</f>
        <v>0</v>
      </c>
      <c r="AU84" s="15">
        <f>SUMPRODUCT(AU9:AU81,$B$9:$B$81)</f>
        <v>0</v>
      </c>
      <c r="AV84" s="15">
        <f>SUMPRODUCT(AV9:AV81,$B$9:$B$81)</f>
        <v>0</v>
      </c>
      <c r="AW84" s="15">
        <f>SUMPRODUCT(AW9:AW81,$B$9:$B$81)</f>
        <v>0</v>
      </c>
      <c r="AX84" s="15">
        <f>SUMPRODUCT(AX9:AX81,$B$9:$B$81)</f>
        <v>0</v>
      </c>
      <c r="AY84" s="15">
        <f>SUMPRODUCT(AY9:AY81,$B$9:$B$81)</f>
        <v>0</v>
      </c>
      <c r="AZ84" s="15">
        <f>SUMPRODUCT(AZ9:AZ81,$B$9:$B$81)</f>
        <v>0</v>
      </c>
      <c r="BA84" s="15">
        <f>$BA$10+$BA$11+$BA$12+$BA$13+$BA$14+$BA$16+$BA$17+$BA$18+$BA$20+$BA$21+$BA$22+$BA$23+$BA$24+$BA$25+$BA$26+$BA$28+$BA$29+$BA$30+$BA$32+$BA$33+$BA$35+$BA$36+$BA$37+$BA$38+$BA$39+$BA$41+$BA$42+$BA$43+$BA$44+$BA$45+$BA$46+$BA$47+$BA$48+$BA$49+$BA$50+$BA$51+$BA$52+$BA$53+$BA$54+$BA$55+$BA$57+$BA$61+$BA$65+$BA$70+$BA$75+$BA$78+$BA$81</f>
        <v>0</v>
      </c>
      <c r="BB84" s="13">
        <f>$BB$10+$BB$11+$BB$12+$BB$13+$BB$14+$BB$16+$BB$17+$BB$18+$BB$20+$BB$21+$BB$22+$BB$23+$BB$24+$BB$25+$BB$26+$BB$28+$BB$29+$BB$30+$BB$32+$BB$33+$BB$35+$BB$36+$BB$37+$BB$38+$BB$39+$BB$41+$BB$42+$BB$43+$BB$44+$BB$45+$BB$46+$BB$47+$BB$48+$BB$49+$BB$50+$BB$51+$BB$52+$BB$53+$BB$54+$BB$55+$BB$57+$BB$61+$BB$65+$BB$70+$BB$75+$BB$78+$BB$81</f>
        <v>0</v>
      </c>
    </row>
  </sheetData>
  <sheetProtection algorithmName="SHA-512" hashValue="Pd5PhLPALNOV1nALZ247oYj1ZuU2aKjacgVlRNw0dwOI5rLyzZ7fOkdjQnU1UEm3WssudTHB8xWIxxfmZqtnHA==" saltValue="gX5UUiSJi2+JIqcPNtNHAQ==" spinCount="100000" sheet="1" objects="1" scenarios="1"/>
  <mergeCells count="34">
    <mergeCell ref="A83:B83"/>
    <mergeCell ref="C82:BB83"/>
    <mergeCell ref="A77:B77"/>
    <mergeCell ref="C76:BB77"/>
    <mergeCell ref="A79:B79"/>
    <mergeCell ref="A80:B80"/>
    <mergeCell ref="C79:BB80"/>
    <mergeCell ref="A82:B82"/>
    <mergeCell ref="A71:B71"/>
    <mergeCell ref="A72:B72"/>
    <mergeCell ref="A73:B73"/>
    <mergeCell ref="A74:B74"/>
    <mergeCell ref="C71:BB74"/>
    <mergeCell ref="A76:B76"/>
    <mergeCell ref="A64:B64"/>
    <mergeCell ref="C62:BB64"/>
    <mergeCell ref="A66:B66"/>
    <mergeCell ref="A67:B67"/>
    <mergeCell ref="A68:B68"/>
    <mergeCell ref="A69:B69"/>
    <mergeCell ref="C66:BB69"/>
    <mergeCell ref="A58:B58"/>
    <mergeCell ref="A59:B59"/>
    <mergeCell ref="A60:B60"/>
    <mergeCell ref="C58:BB60"/>
    <mergeCell ref="A62:B62"/>
    <mergeCell ref="A63:B63"/>
    <mergeCell ref="A1:B4"/>
    <mergeCell ref="C1:BB4"/>
    <mergeCell ref="C5:AZ5"/>
    <mergeCell ref="C6:AZ6"/>
    <mergeCell ref="C7:AZ7"/>
    <mergeCell ref="BA5:BA7"/>
    <mergeCell ref="BB5:BB7"/>
  </mergeCells>
  <pageMargins left="0.39370078740157499" right="0.39370078740157499" top="0.75" bottom="0.75" header="0.3" footer="0.3"/>
  <pageSetup paperSize="9" scale="80" orientation="portrait" r:id="rId1"/>
  <drawing r:id="rId2"/>
  <legacy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01_12_2025</vt:lpstr>
      <vt:lpstr>02_12_2025</vt:lpstr>
      <vt:lpstr>03_12_2025</vt:lpstr>
      <vt:lpstr>04_12_2025</vt:lpstr>
      <vt:lpstr>05_12_2025</vt:lpstr>
      <vt:lpstr>06_12_2025</vt:lpstr>
      <vt:lpstr>07_12_2025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User987</dc:creator>
  <cp:lastModifiedBy>User987</cp:lastModifiedBy>
  <dcterms:created xsi:type="dcterms:W3CDTF">2025-11-26T08:06:38Z</dcterms:created>
  <dcterms:modified xsi:type="dcterms:W3CDTF">2025-11-26T08:18:52Z</dcterms:modified>
</cp:coreProperties>
</file>