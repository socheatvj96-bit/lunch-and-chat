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9-30.12" sheetId="1" state="visible" r:id="rId3"/>
    <sheet name="ЭТУ ТАБЛИЦУ СМОТРИ" sheetId="2" state="visible" r:id="rId4"/>
    <sheet name="заказ 12-16.01" sheetId="3" state="visible" r:id="rId5"/>
    <sheet name="поступления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<sst xmlns="http://schemas.openxmlformats.org/spreadsheetml/2006/main" count="207" uniqueCount="89">
  <si>
    <t xml:space="preserve">Траты на обеды с 29 по 30 декабря 2025 года</t>
  </si>
  <si>
    <t xml:space="preserve">29.12 (понедельник)</t>
  </si>
  <si>
    <t xml:space="preserve">30.12 (вторник)</t>
  </si>
  <si>
    <t xml:space="preserve">факт. оплата компании</t>
  </si>
  <si>
    <t xml:space="preserve">факт. оплата сотрудником </t>
  </si>
  <si>
    <t xml:space="preserve">факт. стоимость </t>
  </si>
  <si>
    <t xml:space="preserve">компания</t>
  </si>
  <si>
    <t xml:space="preserve">сотрудник</t>
  </si>
  <si>
    <t xml:space="preserve">факт. Стоимость</t>
  </si>
  <si>
    <t xml:space="preserve">факт</t>
  </si>
  <si>
    <t xml:space="preserve">остаток (компания)</t>
  </si>
  <si>
    <t xml:space="preserve">остаток (сотрудник)</t>
  </si>
  <si>
    <t xml:space="preserve">Боровков Алексей Анатольевич</t>
  </si>
  <si>
    <t xml:space="preserve">Жеребцова Ольга Константиновна</t>
  </si>
  <si>
    <t xml:space="preserve">Захаричев Владимир Константинович</t>
  </si>
  <si>
    <t xml:space="preserve">Калинина Марина Владимировна</t>
  </si>
  <si>
    <t xml:space="preserve">Киселев Виктор Андреевич</t>
  </si>
  <si>
    <t xml:space="preserve">Корякин Артем Андреевич</t>
  </si>
  <si>
    <t xml:space="preserve">Пак Василий Эдурдович</t>
  </si>
  <si>
    <t xml:space="preserve">Ротов Данила Евгеньевич</t>
  </si>
  <si>
    <t xml:space="preserve">Сорокин Андрей Николаевич</t>
  </si>
  <si>
    <t xml:space="preserve">Сущенко Юлия Владимировна</t>
  </si>
  <si>
    <t xml:space="preserve">Шумский Иван Михайлович</t>
  </si>
  <si>
    <t xml:space="preserve">Матюшин Павел</t>
  </si>
  <si>
    <t xml:space="preserve">доставка</t>
  </si>
  <si>
    <t xml:space="preserve">Итого:</t>
  </si>
  <si>
    <t xml:space="preserve">выдано АВ</t>
  </si>
  <si>
    <t xml:space="preserve">потрачено</t>
  </si>
  <si>
    <t xml:space="preserve">остаток</t>
  </si>
  <si>
    <t xml:space="preserve">Планируемые траты за период 12-16 января  за исключением остатка:</t>
  </si>
  <si>
    <t xml:space="preserve">баланс на карте</t>
  </si>
  <si>
    <t xml:space="preserve">остаток </t>
  </si>
  <si>
    <t xml:space="preserve">остаток:</t>
  </si>
  <si>
    <t xml:space="preserve">деньги организации</t>
  </si>
  <si>
    <t xml:space="preserve">Боровков Алексей Александрович</t>
  </si>
  <si>
    <t xml:space="preserve">деньги сотрудников</t>
  </si>
  <si>
    <t xml:space="preserve">итого</t>
  </si>
  <si>
    <t xml:space="preserve">оплата бонусами</t>
  </si>
  <si>
    <t xml:space="preserve">Траты на обеды с 12 по 16 января 2026 года</t>
  </si>
  <si>
    <t xml:space="preserve">12.01 (понедельник)</t>
  </si>
  <si>
    <t xml:space="preserve">13.01 (вторник)</t>
  </si>
  <si>
    <t xml:space="preserve">14.01 (среда)</t>
  </si>
  <si>
    <t xml:space="preserve">15.01 (четверг)</t>
  </si>
  <si>
    <t xml:space="preserve">16.01 (пятница)</t>
  </si>
  <si>
    <t xml:space="preserve">12.01 (вторник)</t>
  </si>
  <si>
    <t xml:space="preserve">13.01 (среда)</t>
  </si>
  <si>
    <t xml:space="preserve">14.01 (четверг)</t>
  </si>
  <si>
    <t xml:space="preserve">15.01 (пятница)</t>
  </si>
  <si>
    <t xml:space="preserve">Суп картофельный с  индейкой 300 г</t>
  </si>
  <si>
    <t xml:space="preserve">Щи из свежей капусты с курицей 300 г</t>
  </si>
  <si>
    <t xml:space="preserve">Борщ Украинский 300 г</t>
  </si>
  <si>
    <t xml:space="preserve">Щи из свежей капусты с говядиной 300 г</t>
  </si>
  <si>
    <r>
      <rPr>
        <b val="true"/>
        <sz val="10"/>
        <color rgb="FF000000"/>
        <rFont val="Times New Roman"/>
        <family val="1"/>
        <charset val="204"/>
      </rPr>
      <t xml:space="preserve">Бизнес-Ланч "Гурман"   </t>
    </r>
    <r>
      <rPr>
        <sz val="10"/>
        <color rgb="FF000000"/>
        <rFont val="Times New Roman"/>
        <family val="1"/>
        <charset val="204"/>
      </rPr>
      <t xml:space="preserve">Шашлык куриный с картофельным пюре 270  и Салат "Цезарь" 180 г (ПРЕМИУМ)</t>
    </r>
  </si>
  <si>
    <t xml:space="preserve">Блин-омлет с сыром и ветчиной 140 г</t>
  </si>
  <si>
    <t xml:space="preserve">Японский рис с курицей и овощами                                         Курица тушеная с овощами    Сырники запеченные с цедрой апельсина </t>
  </si>
  <si>
    <t xml:space="preserve">Японский рис с курицей и овощами                             Курица тушеная с овощами    Сырники запеченные с цедрой апельсина </t>
  </si>
  <si>
    <t xml:space="preserve">Японский рис с курицей и овощами                                           Курица тушеная с овощами    Сырники запеченные с цедрой апельсина </t>
  </si>
  <si>
    <t xml:space="preserve">Блины шоколадные с апельсином 150 г</t>
  </si>
  <si>
    <t xml:space="preserve">Гречка отварная 170 г</t>
  </si>
  <si>
    <t xml:space="preserve">Блинчики с творогом (210) (упак.3шт.)</t>
  </si>
  <si>
    <t xml:space="preserve">Японский рис с курицей и овощами 300 г</t>
  </si>
  <si>
    <t xml:space="preserve">Азу из говядины с картофельным пюре 295 г и Свекла с чесноком 150 г</t>
  </si>
  <si>
    <r>
      <rPr>
        <b val="true"/>
        <sz val="10"/>
        <color rgb="FF000000"/>
        <rFont val="Times New Roman"/>
        <family val="1"/>
        <charset val="204"/>
      </rPr>
      <t xml:space="preserve">Комплекс "Вкусный дуэт"   </t>
    </r>
    <r>
      <rPr>
        <sz val="10"/>
        <color rgb="FF000000"/>
        <rFont val="Times New Roman"/>
        <family val="1"/>
        <charset val="204"/>
      </rPr>
      <t xml:space="preserve">Щи из свежей капусты с курицей и Оладьи из филе курицы с пенне</t>
    </r>
  </si>
  <si>
    <t xml:space="preserve">Курица тушеная с овощами  300 г</t>
  </si>
  <si>
    <r>
      <rPr>
        <b val="true"/>
        <sz val="10"/>
        <color rgb="FF000000"/>
        <rFont val="Times New Roman"/>
        <family val="1"/>
        <charset val="204"/>
      </rPr>
      <t xml:space="preserve">Комплекс "Без свинины" </t>
    </r>
    <r>
      <rPr>
        <sz val="10"/>
        <color rgb="FF000000"/>
        <rFont val="Times New Roman"/>
        <family val="1"/>
        <charset val="204"/>
      </rPr>
      <t xml:space="preserve">Салат "Грузинский и Куриное филе в сырном кляре с картофельным пюре</t>
    </r>
  </si>
  <si>
    <r>
      <rPr>
        <b val="true"/>
        <sz val="10"/>
        <color rgb="FF000000"/>
        <rFont val="Times New Roman"/>
        <family val="1"/>
        <charset val="204"/>
      </rPr>
      <t xml:space="preserve">Бизнес-Ланч "Вкусно, сытно"</t>
    </r>
    <r>
      <rPr>
        <sz val="10"/>
        <color rgb="FF000000"/>
        <rFont val="Times New Roman"/>
        <family val="1"/>
        <charset val="204"/>
      </rPr>
      <t xml:space="preserve"> Крылышки куриные, Черноголовка "Байкал"и Шаурма с курицей</t>
    </r>
  </si>
  <si>
    <r>
      <rPr>
        <b val="true"/>
        <sz val="10"/>
        <color rgb="FF000000"/>
        <rFont val="Times New Roman"/>
        <family val="1"/>
        <charset val="204"/>
      </rPr>
      <t xml:space="preserve">Бизнес-Ланч "Вкусно, сытно"</t>
    </r>
    <r>
      <rPr>
        <sz val="10"/>
        <color rgb="FF000000"/>
        <rFont val="Times New Roman"/>
        <family val="1"/>
        <charset val="204"/>
      </rPr>
      <t xml:space="preserve"> Крылышки куриные, Черноголовка "Байкал"и Бургер с куриной котлетой</t>
    </r>
  </si>
  <si>
    <r>
      <rPr>
        <b val="true"/>
        <sz val="10"/>
        <color rgb="FF000000"/>
        <rFont val="Times New Roman"/>
        <family val="1"/>
        <charset val="204"/>
      </rPr>
      <t xml:space="preserve">Комплекс БК                                 </t>
    </r>
    <r>
      <rPr>
        <sz val="10"/>
        <color rgb="FF000000"/>
        <rFont val="Times New Roman"/>
        <family val="1"/>
        <charset val="204"/>
      </rPr>
      <t xml:space="preserve">Борщ Украинский, Свекла с чесноком и Лагман с курицей</t>
    </r>
  </si>
  <si>
    <t xml:space="preserve">Котлета Московская с макаронами 250 г и Салат "Любимый вкус" 150 г</t>
  </si>
  <si>
    <t xml:space="preserve">Пак Василий Эдуардович</t>
  </si>
  <si>
    <t xml:space="preserve">Котлета по-Киевски с картофельным пюре 270 г</t>
  </si>
  <si>
    <t xml:space="preserve">Пельмени "Уральские" из курицы и говядины 250 г</t>
  </si>
  <si>
    <t xml:space="preserve">Биточки по-селянски с рисом и овощами 270 г</t>
  </si>
  <si>
    <r>
      <rPr>
        <b val="true"/>
        <sz val="10"/>
        <color rgb="FF000000"/>
        <rFont val="Times New Roman"/>
        <family val="1"/>
        <charset val="204"/>
      </rPr>
      <t xml:space="preserve">Комплекс "Вкусный дуэт"</t>
    </r>
    <r>
      <rPr>
        <sz val="10"/>
        <color rgb="FF000000"/>
        <rFont val="Times New Roman"/>
        <family val="1"/>
        <charset val="204"/>
      </rPr>
      <t xml:space="preserve">                Суп картофельный с  индейкой и Куриное филе жаренное в яйце с рисом и овощами </t>
    </r>
  </si>
  <si>
    <r>
      <rPr>
        <b val="true"/>
        <sz val="10"/>
        <color rgb="FF000000"/>
        <rFont val="Times New Roman"/>
        <family val="1"/>
        <charset val="204"/>
      </rPr>
      <t xml:space="preserve">Комплекс "Вкусный дуэт" </t>
    </r>
    <r>
      <rPr>
        <sz val="10"/>
        <color rgb="FF000000"/>
        <rFont val="Times New Roman"/>
        <family val="1"/>
        <charset val="204"/>
      </rPr>
      <t xml:space="preserve">Борщ Украинский и Бифштекс рубленный с хрустящим луком и соусом Тар-Тар с гречкой</t>
    </r>
  </si>
  <si>
    <r>
      <rPr>
        <b val="true"/>
        <sz val="10"/>
        <color rgb="FF000000"/>
        <rFont val="Times New Roman"/>
        <family val="1"/>
        <charset val="204"/>
      </rPr>
      <t xml:space="preserve">Комплекс "Вкусный дуэт" </t>
    </r>
    <r>
      <rPr>
        <sz val="10"/>
        <color rgb="FF000000"/>
        <rFont val="Times New Roman"/>
        <family val="1"/>
        <charset val="204"/>
      </rPr>
      <t xml:space="preserve">Похлебка Старомосковская и Биточки по-селянски с рисом и овощами</t>
    </r>
  </si>
  <si>
    <t xml:space="preserve">Салат "Оливье с колбасой" 150 г</t>
  </si>
  <si>
    <t xml:space="preserve">Свекла с чесноком 150 г</t>
  </si>
  <si>
    <r>
      <rPr>
        <b val="true"/>
        <sz val="10"/>
        <color rgb="FF000000"/>
        <rFont val="Times New Roman"/>
        <family val="1"/>
        <charset val="204"/>
      </rPr>
      <t xml:space="preserve">Комплекс "Без свинины" </t>
    </r>
    <r>
      <rPr>
        <sz val="10"/>
        <color rgb="FF000000"/>
        <rFont val="Times New Roman"/>
        <family val="1"/>
        <charset val="204"/>
      </rPr>
      <t xml:space="preserve">Наггетсы с картофелем по-деревенски и соус 1000 островов и Салат "Весна"</t>
    </r>
  </si>
  <si>
    <t xml:space="preserve">Курица "Су-вид" с гречкой, грибами и луком  270 г</t>
  </si>
  <si>
    <t xml:space="preserve">Блины шоколадные с апельсином 150 г и Японский рис с курицей и овощами    </t>
  </si>
  <si>
    <t xml:space="preserve">Жаркое по-домашнему 1/300гр.</t>
  </si>
  <si>
    <t xml:space="preserve">Окорочка куриные запечённые  250 г</t>
  </si>
  <si>
    <r>
      <rPr>
        <b val="true"/>
        <sz val="12"/>
        <rFont val="Times New Roman"/>
        <family val="1"/>
        <charset val="204"/>
      </rPr>
      <t xml:space="preserve">Номер для пополнения счёта:    </t>
    </r>
    <r>
      <rPr>
        <b val="true"/>
        <sz val="12"/>
        <color rgb="FF000000"/>
        <rFont val="Times New Roman"/>
        <family val="1"/>
        <charset val="204"/>
      </rPr>
      <t xml:space="preserve">                                                             +7 915 39 73 244                                                             (по СПБ на россельхоз банк!!)</t>
    </r>
  </si>
  <si>
    <t xml:space="preserve">оплата за баллы системы доставки</t>
  </si>
  <si>
    <t xml:space="preserve">итого </t>
  </si>
  <si>
    <t xml:space="preserve">поступление л/с </t>
  </si>
  <si>
    <t xml:space="preserve">дата</t>
  </si>
  <si>
    <t xml:space="preserve">АВ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</si>
</sst>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m"/>
    <numFmt numFmtId="166" formatCode="#,##0"/>
    <numFmt numFmtId="167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204"/>
    </font>
    <font>
      <sz val="13"/>
      <color theme="1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 val="true"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0"/>
      <name val="Times New Roman"/>
      <family val="1"/>
      <charset val="204"/>
    </font>
    <font>
      <b val="true"/>
      <sz val="16"/>
      <color rgb="FFC00000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b val="true"/>
      <sz val="11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7C80"/>
        <bgColor rgb="FFFF99CC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theme="7" tint="0.7999"/>
        <bgColor rgb="FFFBE5D6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DEDED"/>
      </patternFill>
    </fill>
    <fill>
      <patternFill patternType="solid">
        <fgColor rgb="FFE2F0D9"/>
        <bgColor rgb="FFE7E6E6"/>
      </patternFill>
    </fill>
    <fill>
      <patternFill patternType="solid">
        <fgColor theme="5" tint="0.7999"/>
        <bgColor rgb="FFFFF2CC"/>
      </patternFill>
    </fill>
    <fill>
      <patternFill patternType="solid">
        <fgColor rgb="FFDBDBDB"/>
        <bgColor rgb="FFE7E6E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7C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20" activeCellId="0" sqref="I20"/>
    </sheetView>
  </sheetViews>
  <sheetFormatPr defaultColWidth="9.14453125" defaultRowHeight="16.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2" width="38"/>
    <col collapsed="false" customWidth="true" hidden="false" outlineLevel="0" max="4" min="3" style="1" width="10.57"/>
    <col collapsed="false" customWidth="true" hidden="false" outlineLevel="0" max="5" min="5" style="1" width="9.43"/>
    <col collapsed="false" customWidth="false" hidden="false" outlineLevel="0" max="21" min="6" style="1" width="9.14"/>
    <col collapsed="false" customWidth="true" hidden="false" outlineLevel="0" max="22" min="22" style="1" width="11"/>
    <col collapsed="false" customWidth="false" hidden="false" outlineLevel="0" max="23" min="23" style="3" width="9.14"/>
    <col collapsed="false" customWidth="false" hidden="false" outlineLevel="0" max="16384" min="24" style="1" width="9.14"/>
  </cols>
  <sheetData>
    <row r="1" customFormat="false" ht="16.5" hidden="false" customHeight="true" outlineLevel="0" collapsed="false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</row>
    <row r="2" customFormat="false" ht="16.5" hidden="false" customHeight="true" outlineLevel="0" collapsed="false">
      <c r="A2" s="4"/>
      <c r="B2" s="7"/>
      <c r="C2" s="7"/>
      <c r="D2" s="7"/>
      <c r="E2" s="8" t="s">
        <v>1</v>
      </c>
      <c r="F2" s="8"/>
      <c r="G2" s="8"/>
      <c r="H2" s="7" t="s">
        <v>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9"/>
      <c r="U2" s="10"/>
      <c r="V2" s="7"/>
      <c r="W2" s="6"/>
    </row>
    <row r="3" customFormat="false" ht="22.35" hidden="false" customHeight="false" outlineLevel="0" collapsed="false">
      <c r="A3" s="4"/>
      <c r="B3" s="7"/>
      <c r="C3" s="11" t="s">
        <v>3</v>
      </c>
      <c r="D3" s="11" t="s">
        <v>4</v>
      </c>
      <c r="E3" s="12" t="s">
        <v>5</v>
      </c>
      <c r="F3" s="12" t="s">
        <v>6</v>
      </c>
      <c r="G3" s="12" t="s">
        <v>7</v>
      </c>
      <c r="H3" s="12" t="s">
        <v>5</v>
      </c>
      <c r="I3" s="12" t="s">
        <v>6</v>
      </c>
      <c r="J3" s="12" t="s">
        <v>7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6</v>
      </c>
      <c r="P3" s="12" t="s">
        <v>7</v>
      </c>
      <c r="Q3" s="12" t="s">
        <v>5</v>
      </c>
      <c r="R3" s="12" t="s">
        <v>6</v>
      </c>
      <c r="S3" s="12" t="s">
        <v>7</v>
      </c>
      <c r="T3" s="13" t="s">
        <v>9</v>
      </c>
      <c r="U3" s="14" t="s">
        <v>10</v>
      </c>
      <c r="V3" s="11" t="s">
        <v>11</v>
      </c>
      <c r="W3" s="6"/>
    </row>
    <row r="4" customFormat="false" ht="22.5" hidden="false" customHeight="true" outlineLevel="0" collapsed="false">
      <c r="A4" s="15" t="n">
        <v>1</v>
      </c>
      <c r="B4" s="16" t="s">
        <v>12</v>
      </c>
      <c r="C4" s="17" t="n">
        <f aca="false">150*2+344</f>
        <v>644</v>
      </c>
      <c r="D4" s="17" t="n">
        <v>0</v>
      </c>
      <c r="E4" s="18" t="n">
        <v>154</v>
      </c>
      <c r="F4" s="18" t="n">
        <v>154</v>
      </c>
      <c r="G4" s="18" t="n">
        <f aca="false">E4-F4</f>
        <v>0</v>
      </c>
      <c r="H4" s="18" t="n">
        <v>154</v>
      </c>
      <c r="I4" s="18" t="n">
        <v>154</v>
      </c>
      <c r="J4" s="18" t="n">
        <f aca="false">H4-I4</f>
        <v>0</v>
      </c>
      <c r="K4" s="18"/>
      <c r="L4" s="18" t="n">
        <v>0</v>
      </c>
      <c r="M4" s="18" t="n">
        <f aca="false">K4-L4</f>
        <v>0</v>
      </c>
      <c r="N4" s="18"/>
      <c r="O4" s="18" t="n">
        <v>0</v>
      </c>
      <c r="P4" s="18" t="n">
        <f aca="false">N4-O4</f>
        <v>0</v>
      </c>
      <c r="Q4" s="18"/>
      <c r="R4" s="18" t="n">
        <v>0</v>
      </c>
      <c r="S4" s="18" t="n">
        <f aca="false">Q4-R4</f>
        <v>0</v>
      </c>
      <c r="T4" s="19" t="n">
        <f aca="false">E4+H4+K4+N4+Q4</f>
        <v>308</v>
      </c>
      <c r="U4" s="20" t="n">
        <f aca="false">C4-F4-I4-L4-O4-R4</f>
        <v>336</v>
      </c>
      <c r="V4" s="17" t="n">
        <f aca="false">D4-G4-J4-M4-P4-S4</f>
        <v>0</v>
      </c>
      <c r="W4" s="6"/>
    </row>
    <row r="5" customFormat="false" ht="22.5" hidden="false" customHeight="true" outlineLevel="0" collapsed="false">
      <c r="A5" s="15" t="n">
        <v>2</v>
      </c>
      <c r="B5" s="16" t="s">
        <v>13</v>
      </c>
      <c r="C5" s="17" t="n">
        <f aca="false">150*2</f>
        <v>300</v>
      </c>
      <c r="D5" s="17" t="n">
        <v>0</v>
      </c>
      <c r="E5" s="18" t="n">
        <v>0</v>
      </c>
      <c r="F5" s="18" t="n">
        <v>0</v>
      </c>
      <c r="G5" s="18" t="n">
        <f aca="false">E5-F5</f>
        <v>0</v>
      </c>
      <c r="H5" s="18" t="n">
        <v>0</v>
      </c>
      <c r="I5" s="18" t="n">
        <v>0</v>
      </c>
      <c r="J5" s="18" t="n">
        <f aca="false">H5-I5</f>
        <v>0</v>
      </c>
      <c r="K5" s="18"/>
      <c r="L5" s="18" t="n">
        <v>0</v>
      </c>
      <c r="M5" s="18" t="n">
        <f aca="false">K5-L5</f>
        <v>0</v>
      </c>
      <c r="N5" s="18"/>
      <c r="O5" s="18" t="n">
        <v>0</v>
      </c>
      <c r="P5" s="18" t="n">
        <f aca="false">N5-O5</f>
        <v>0</v>
      </c>
      <c r="Q5" s="18"/>
      <c r="R5" s="18" t="n">
        <v>0</v>
      </c>
      <c r="S5" s="18" t="n">
        <f aca="false">Q5-R5</f>
        <v>0</v>
      </c>
      <c r="T5" s="19" t="n">
        <f aca="false">E5+H5+K5+N5+Q5</f>
        <v>0</v>
      </c>
      <c r="U5" s="20" t="n">
        <f aca="false">C5-F5-I5-L5-O5-R5</f>
        <v>300</v>
      </c>
      <c r="V5" s="17" t="n">
        <f aca="false">D5-G5-J5-M5-P5-S5</f>
        <v>0</v>
      </c>
      <c r="W5" s="6"/>
    </row>
    <row r="6" customFormat="false" ht="23.25" hidden="false" customHeight="true" outlineLevel="0" collapsed="false">
      <c r="A6" s="15" t="n">
        <v>3</v>
      </c>
      <c r="B6" s="16" t="s">
        <v>14</v>
      </c>
      <c r="C6" s="17" t="n">
        <f aca="false">150*2</f>
        <v>300</v>
      </c>
      <c r="D6" s="17" t="n">
        <v>417</v>
      </c>
      <c r="E6" s="18" t="n">
        <v>295</v>
      </c>
      <c r="F6" s="18" t="n">
        <v>150</v>
      </c>
      <c r="G6" s="18" t="n">
        <f aca="false">E6-F6</f>
        <v>145</v>
      </c>
      <c r="H6" s="18" t="n">
        <v>376</v>
      </c>
      <c r="I6" s="18" t="n">
        <v>150</v>
      </c>
      <c r="J6" s="18" t="n">
        <f aca="false">H6-I6</f>
        <v>226</v>
      </c>
      <c r="K6" s="18"/>
      <c r="L6" s="18" t="n">
        <v>0</v>
      </c>
      <c r="M6" s="18" t="n">
        <f aca="false">K6-L6</f>
        <v>0</v>
      </c>
      <c r="N6" s="18"/>
      <c r="O6" s="18" t="n">
        <v>0</v>
      </c>
      <c r="P6" s="18" t="n">
        <f aca="false">N6-O6</f>
        <v>0</v>
      </c>
      <c r="Q6" s="18"/>
      <c r="R6" s="18" t="n">
        <v>0</v>
      </c>
      <c r="S6" s="18" t="n">
        <f aca="false">Q6-R6</f>
        <v>0</v>
      </c>
      <c r="T6" s="19" t="n">
        <f aca="false">E6+H6+K6+N6+Q6</f>
        <v>671</v>
      </c>
      <c r="U6" s="20" t="n">
        <f aca="false">C6-F6-I6-L6-O6-R6</f>
        <v>0</v>
      </c>
      <c r="V6" s="17" t="n">
        <f aca="false">D6-G6-J6-M6-P6-S6</f>
        <v>46</v>
      </c>
      <c r="W6" s="6"/>
    </row>
    <row r="7" customFormat="false" ht="25.5" hidden="false" customHeight="true" outlineLevel="0" collapsed="false">
      <c r="A7" s="15" t="n">
        <v>4</v>
      </c>
      <c r="B7" s="16" t="s">
        <v>15</v>
      </c>
      <c r="C7" s="17" t="n">
        <f aca="false">150*2+2755</f>
        <v>3055</v>
      </c>
      <c r="D7" s="17" t="n">
        <v>0</v>
      </c>
      <c r="E7" s="18" t="n">
        <v>0</v>
      </c>
      <c r="F7" s="18" t="n">
        <v>0</v>
      </c>
      <c r="G7" s="18" t="n">
        <f aca="false">E7-F7</f>
        <v>0</v>
      </c>
      <c r="H7" s="18" t="n">
        <v>0</v>
      </c>
      <c r="I7" s="18" t="n">
        <v>0</v>
      </c>
      <c r="J7" s="18" t="n">
        <v>0</v>
      </c>
      <c r="K7" s="18"/>
      <c r="L7" s="18" t="n">
        <v>0</v>
      </c>
      <c r="M7" s="18" t="n">
        <f aca="false">K7-L7</f>
        <v>0</v>
      </c>
      <c r="N7" s="18"/>
      <c r="O7" s="18" t="n">
        <v>0</v>
      </c>
      <c r="P7" s="18" t="n">
        <v>0</v>
      </c>
      <c r="Q7" s="18"/>
      <c r="R7" s="18" t="n">
        <v>0</v>
      </c>
      <c r="S7" s="18" t="n">
        <f aca="false">Q7-R7</f>
        <v>0</v>
      </c>
      <c r="T7" s="19" t="n">
        <f aca="false">E7+H7+K7+N7+Q7</f>
        <v>0</v>
      </c>
      <c r="U7" s="20" t="n">
        <f aca="false">C7-F7-I7-L7-O7-R7</f>
        <v>3055</v>
      </c>
      <c r="V7" s="17" t="n">
        <f aca="false">D7-G7-J7-N7-Q7-S7</f>
        <v>0</v>
      </c>
      <c r="W7" s="21"/>
      <c r="X7" s="22"/>
    </row>
    <row r="8" customFormat="false" ht="22.5" hidden="false" customHeight="true" outlineLevel="0" collapsed="false">
      <c r="A8" s="15" t="n">
        <v>5</v>
      </c>
      <c r="B8" s="16" t="s">
        <v>16</v>
      </c>
      <c r="C8" s="17" t="n">
        <f aca="false">150*2</f>
        <v>300</v>
      </c>
      <c r="D8" s="17" t="n">
        <v>0</v>
      </c>
      <c r="E8" s="18" t="n">
        <v>0</v>
      </c>
      <c r="F8" s="18" t="n">
        <v>0</v>
      </c>
      <c r="G8" s="18" t="n">
        <f aca="false">E8-F8</f>
        <v>0</v>
      </c>
      <c r="H8" s="18" t="n">
        <v>0</v>
      </c>
      <c r="I8" s="18" t="n">
        <v>0</v>
      </c>
      <c r="J8" s="18" t="n">
        <f aca="false">H8-I8</f>
        <v>0</v>
      </c>
      <c r="K8" s="18"/>
      <c r="L8" s="18" t="n">
        <v>0</v>
      </c>
      <c r="M8" s="18" t="n">
        <f aca="false">K8-L8</f>
        <v>0</v>
      </c>
      <c r="N8" s="18"/>
      <c r="O8" s="18" t="n">
        <v>0</v>
      </c>
      <c r="P8" s="18" t="n">
        <f aca="false">N8-O8</f>
        <v>0</v>
      </c>
      <c r="Q8" s="18"/>
      <c r="R8" s="18" t="n">
        <v>0</v>
      </c>
      <c r="S8" s="18" t="n">
        <f aca="false">Q8-R8</f>
        <v>0</v>
      </c>
      <c r="T8" s="19" t="n">
        <f aca="false">E8+H8+K8+N8+Q8</f>
        <v>0</v>
      </c>
      <c r="U8" s="20" t="n">
        <f aca="false">C8-F8-I8-L8-O8-R8</f>
        <v>300</v>
      </c>
      <c r="V8" s="17" t="n">
        <f aca="false">D8-G8-J8-M8-P8-S8</f>
        <v>0</v>
      </c>
      <c r="W8" s="21"/>
      <c r="X8" s="22"/>
    </row>
    <row r="9" customFormat="false" ht="21.75" hidden="false" customHeight="true" outlineLevel="0" collapsed="false">
      <c r="A9" s="15" t="n">
        <v>6</v>
      </c>
      <c r="B9" s="16" t="s">
        <v>17</v>
      </c>
      <c r="C9" s="17" t="n">
        <f aca="false">150*2</f>
        <v>300</v>
      </c>
      <c r="D9" s="17" t="n">
        <v>361</v>
      </c>
      <c r="E9" s="18" t="n">
        <v>261</v>
      </c>
      <c r="F9" s="18" t="n">
        <v>261</v>
      </c>
      <c r="G9" s="18" t="n">
        <f aca="false">E9-F9</f>
        <v>0</v>
      </c>
      <c r="H9" s="18" t="n">
        <v>0</v>
      </c>
      <c r="I9" s="18" t="n">
        <v>0</v>
      </c>
      <c r="J9" s="18" t="n">
        <f aca="false">H9-I9</f>
        <v>0</v>
      </c>
      <c r="K9" s="18"/>
      <c r="L9" s="18" t="n">
        <v>0</v>
      </c>
      <c r="M9" s="18" t="n">
        <f aca="false">K9-L9</f>
        <v>0</v>
      </c>
      <c r="N9" s="18"/>
      <c r="O9" s="18" t="n">
        <v>0</v>
      </c>
      <c r="P9" s="18" t="n">
        <f aca="false">N9-O9</f>
        <v>0</v>
      </c>
      <c r="Q9" s="18"/>
      <c r="R9" s="18" t="n">
        <v>0</v>
      </c>
      <c r="S9" s="18" t="n">
        <f aca="false">Q9-R9</f>
        <v>0</v>
      </c>
      <c r="T9" s="19" t="n">
        <f aca="false">E9+H9+K9+N9+Q9</f>
        <v>261</v>
      </c>
      <c r="U9" s="20" t="n">
        <f aca="false">C9-F9-I9-L9-O9-R9</f>
        <v>39</v>
      </c>
      <c r="V9" s="17" t="n">
        <f aca="false">D9-G9-J9-M9-P9-S9</f>
        <v>361</v>
      </c>
      <c r="W9" s="23"/>
      <c r="X9" s="22"/>
    </row>
    <row r="10" customFormat="false" ht="24.75" hidden="false" customHeight="true" outlineLevel="0" collapsed="false">
      <c r="A10" s="15" t="n">
        <v>7</v>
      </c>
      <c r="B10" s="16" t="s">
        <v>18</v>
      </c>
      <c r="C10" s="17" t="n">
        <f aca="false">150*2</f>
        <v>300</v>
      </c>
      <c r="D10" s="17" t="n">
        <v>503</v>
      </c>
      <c r="E10" s="18" t="n">
        <v>219</v>
      </c>
      <c r="F10" s="18" t="n">
        <v>150</v>
      </c>
      <c r="G10" s="18" t="n">
        <f aca="false">E10-F10</f>
        <v>69</v>
      </c>
      <c r="H10" s="18" t="n">
        <v>205</v>
      </c>
      <c r="I10" s="18" t="n">
        <v>150</v>
      </c>
      <c r="J10" s="18" t="n">
        <f aca="false">H10-I10</f>
        <v>55</v>
      </c>
      <c r="K10" s="18"/>
      <c r="L10" s="18" t="n">
        <v>0</v>
      </c>
      <c r="M10" s="18" t="n">
        <f aca="false">K10-L10</f>
        <v>0</v>
      </c>
      <c r="N10" s="18"/>
      <c r="O10" s="18" t="n">
        <v>0</v>
      </c>
      <c r="P10" s="18" t="n">
        <f aca="false">N10-O10</f>
        <v>0</v>
      </c>
      <c r="Q10" s="18"/>
      <c r="R10" s="18" t="n">
        <v>0</v>
      </c>
      <c r="S10" s="18" t="n">
        <f aca="false">Q10-R10</f>
        <v>0</v>
      </c>
      <c r="T10" s="19" t="n">
        <f aca="false">E10+H10+K10+N10+Q10</f>
        <v>424</v>
      </c>
      <c r="U10" s="20" t="n">
        <f aca="false">C10-F10-I10-L10-O10-R10</f>
        <v>0</v>
      </c>
      <c r="V10" s="17" t="n">
        <f aca="false">D10-G10-J10-M10-P10-S10</f>
        <v>379</v>
      </c>
      <c r="W10" s="21"/>
      <c r="X10" s="22"/>
    </row>
    <row r="11" customFormat="false" ht="23.25" hidden="false" customHeight="true" outlineLevel="0" collapsed="false">
      <c r="A11" s="15" t="n">
        <v>8</v>
      </c>
      <c r="B11" s="16" t="s">
        <v>19</v>
      </c>
      <c r="C11" s="17" t="n">
        <f aca="false">150*2</f>
        <v>300</v>
      </c>
      <c r="D11" s="17" t="n">
        <v>-48</v>
      </c>
      <c r="E11" s="18" t="n">
        <v>196</v>
      </c>
      <c r="F11" s="18" t="n">
        <v>196</v>
      </c>
      <c r="G11" s="18" t="n">
        <f aca="false">E11-F11</f>
        <v>0</v>
      </c>
      <c r="H11" s="18" t="n">
        <v>0</v>
      </c>
      <c r="I11" s="18" t="n">
        <v>0</v>
      </c>
      <c r="J11" s="18" t="n">
        <f aca="false">H11-I11</f>
        <v>0</v>
      </c>
      <c r="K11" s="18"/>
      <c r="L11" s="18" t="n">
        <v>0</v>
      </c>
      <c r="M11" s="18" t="n">
        <f aca="false">K11-L11</f>
        <v>0</v>
      </c>
      <c r="N11" s="18"/>
      <c r="O11" s="18" t="n">
        <v>0</v>
      </c>
      <c r="P11" s="18" t="n">
        <f aca="false">N11-O11</f>
        <v>0</v>
      </c>
      <c r="Q11" s="18"/>
      <c r="R11" s="18" t="n">
        <v>0</v>
      </c>
      <c r="S11" s="18" t="n">
        <f aca="false">Q11-R11</f>
        <v>0</v>
      </c>
      <c r="T11" s="19" t="n">
        <f aca="false">E11+H11+K11+N11+Q11</f>
        <v>196</v>
      </c>
      <c r="U11" s="20" t="n">
        <f aca="false">C11-F11-I11-L11-O11-R11</f>
        <v>104</v>
      </c>
      <c r="V11" s="17" t="n">
        <f aca="false">D11-G11-J11-M11-P11-S11</f>
        <v>-48</v>
      </c>
      <c r="W11" s="21"/>
      <c r="X11" s="22"/>
    </row>
    <row r="12" customFormat="false" ht="23.25" hidden="false" customHeight="true" outlineLevel="0" collapsed="false">
      <c r="A12" s="15" t="n">
        <v>9</v>
      </c>
      <c r="B12" s="16" t="s">
        <v>20</v>
      </c>
      <c r="C12" s="17" t="n">
        <f aca="false">150*2+506</f>
        <v>806</v>
      </c>
      <c r="D12" s="17" t="n">
        <v>0</v>
      </c>
      <c r="E12" s="18" t="n">
        <v>0</v>
      </c>
      <c r="F12" s="18" t="n">
        <v>0</v>
      </c>
      <c r="G12" s="18" t="n">
        <f aca="false">E12-F12</f>
        <v>0</v>
      </c>
      <c r="H12" s="18" t="n">
        <v>0</v>
      </c>
      <c r="I12" s="18" t="n">
        <v>0</v>
      </c>
      <c r="J12" s="18" t="n">
        <f aca="false">H12-I12</f>
        <v>0</v>
      </c>
      <c r="K12" s="18"/>
      <c r="L12" s="18" t="n">
        <v>0</v>
      </c>
      <c r="M12" s="18" t="n">
        <f aca="false">K12-L12</f>
        <v>0</v>
      </c>
      <c r="N12" s="18"/>
      <c r="O12" s="18" t="n">
        <v>0</v>
      </c>
      <c r="P12" s="18" t="n">
        <f aca="false">N12-O12</f>
        <v>0</v>
      </c>
      <c r="Q12" s="18"/>
      <c r="R12" s="18" t="n">
        <v>0</v>
      </c>
      <c r="S12" s="18" t="n">
        <f aca="false">Q12-R12</f>
        <v>0</v>
      </c>
      <c r="T12" s="19" t="n">
        <f aca="false">E12+H12+K12+N12+Q12</f>
        <v>0</v>
      </c>
      <c r="U12" s="20" t="n">
        <f aca="false">C12-F12-I12-L12-O12-R12</f>
        <v>806</v>
      </c>
      <c r="V12" s="17" t="n">
        <f aca="false">D12-G12-J12-M12-P12-S12</f>
        <v>0</v>
      </c>
      <c r="W12" s="23"/>
      <c r="X12" s="22"/>
    </row>
    <row r="13" customFormat="false" ht="23.25" hidden="false" customHeight="true" outlineLevel="0" collapsed="false">
      <c r="A13" s="15" t="n">
        <v>10</v>
      </c>
      <c r="B13" s="16" t="s">
        <v>21</v>
      </c>
      <c r="C13" s="17" t="n">
        <f aca="false">150*2</f>
        <v>300</v>
      </c>
      <c r="D13" s="17" t="n">
        <v>200</v>
      </c>
      <c r="E13" s="18" t="n">
        <v>129</v>
      </c>
      <c r="F13" s="18" t="n">
        <v>129</v>
      </c>
      <c r="G13" s="18" t="n">
        <f aca="false">E13-F13</f>
        <v>0</v>
      </c>
      <c r="H13" s="18" t="n">
        <v>370</v>
      </c>
      <c r="I13" s="18" t="n">
        <v>171</v>
      </c>
      <c r="J13" s="18" t="n">
        <f aca="false">H13-I13</f>
        <v>199</v>
      </c>
      <c r="K13" s="18"/>
      <c r="L13" s="18" t="n">
        <v>0</v>
      </c>
      <c r="M13" s="18" t="n">
        <f aca="false">K13-L13</f>
        <v>0</v>
      </c>
      <c r="N13" s="18"/>
      <c r="O13" s="18" t="n">
        <v>0</v>
      </c>
      <c r="P13" s="18" t="n">
        <f aca="false">N13-O13</f>
        <v>0</v>
      </c>
      <c r="Q13" s="18"/>
      <c r="R13" s="18" t="n">
        <v>0</v>
      </c>
      <c r="S13" s="18" t="n">
        <f aca="false">Q13-R13</f>
        <v>0</v>
      </c>
      <c r="T13" s="19" t="n">
        <f aca="false">E13+H13+K13+N13+Q13</f>
        <v>499</v>
      </c>
      <c r="U13" s="20" t="n">
        <f aca="false">C13-F13-I13-L13-O13-R13</f>
        <v>0</v>
      </c>
      <c r="V13" s="17" t="n">
        <f aca="false">D13-G13-J13-M13-P13-S13</f>
        <v>1</v>
      </c>
      <c r="W13" s="21"/>
      <c r="X13" s="22"/>
    </row>
    <row r="14" customFormat="false" ht="23.25" hidden="false" customHeight="true" outlineLevel="0" collapsed="false">
      <c r="A14" s="15" t="n">
        <v>11</v>
      </c>
      <c r="B14" s="16" t="s">
        <v>22</v>
      </c>
      <c r="C14" s="17" t="n">
        <f aca="false">150*2</f>
        <v>300</v>
      </c>
      <c r="D14" s="17" t="n">
        <v>1134</v>
      </c>
      <c r="E14" s="18" t="n">
        <v>0</v>
      </c>
      <c r="F14" s="18" t="n">
        <v>0</v>
      </c>
      <c r="G14" s="18" t="n">
        <f aca="false">E14-F14</f>
        <v>0</v>
      </c>
      <c r="H14" s="18" t="n">
        <v>0</v>
      </c>
      <c r="I14" s="18" t="n">
        <v>0</v>
      </c>
      <c r="J14" s="18" t="n">
        <f aca="false">H14-I14</f>
        <v>0</v>
      </c>
      <c r="K14" s="18"/>
      <c r="L14" s="18" t="n">
        <v>0</v>
      </c>
      <c r="M14" s="18" t="n">
        <f aca="false">K14-L14</f>
        <v>0</v>
      </c>
      <c r="N14" s="18"/>
      <c r="O14" s="18" t="n">
        <v>0</v>
      </c>
      <c r="P14" s="18" t="n">
        <f aca="false">N14-O14</f>
        <v>0</v>
      </c>
      <c r="Q14" s="18"/>
      <c r="R14" s="18" t="n">
        <v>0</v>
      </c>
      <c r="S14" s="18" t="n">
        <f aca="false">Q14-R14</f>
        <v>0</v>
      </c>
      <c r="T14" s="19" t="n">
        <f aca="false">E14+H14+K14+N14+Q14</f>
        <v>0</v>
      </c>
      <c r="U14" s="20" t="n">
        <f aca="false">C14-F14-I14-L14-O14-R14</f>
        <v>300</v>
      </c>
      <c r="V14" s="17" t="n">
        <f aca="false">D14-G14-J14-M14-P14-S14</f>
        <v>1134</v>
      </c>
      <c r="W14" s="6"/>
    </row>
    <row r="15" customFormat="false" ht="21" hidden="false" customHeight="true" outlineLevel="0" collapsed="false">
      <c r="A15" s="15" t="n">
        <v>12</v>
      </c>
      <c r="B15" s="16" t="s">
        <v>23</v>
      </c>
      <c r="C15" s="17" t="n">
        <f aca="false">100*2</f>
        <v>200</v>
      </c>
      <c r="D15" s="17" t="n">
        <v>0</v>
      </c>
      <c r="E15" s="18" t="n">
        <v>0</v>
      </c>
      <c r="F15" s="18" t="n">
        <v>0</v>
      </c>
      <c r="G15" s="18" t="n">
        <f aca="false">E15-F15</f>
        <v>0</v>
      </c>
      <c r="H15" s="18" t="n">
        <v>300</v>
      </c>
      <c r="I15" s="18" t="n">
        <v>200</v>
      </c>
      <c r="J15" s="18" t="n">
        <f aca="false">H15-I15</f>
        <v>100</v>
      </c>
      <c r="K15" s="18"/>
      <c r="L15" s="18" t="n">
        <v>0</v>
      </c>
      <c r="M15" s="18" t="n">
        <f aca="false">K15-L15</f>
        <v>0</v>
      </c>
      <c r="N15" s="18"/>
      <c r="O15" s="18" t="n">
        <v>0</v>
      </c>
      <c r="P15" s="18" t="n">
        <f aca="false">N15-O15</f>
        <v>0</v>
      </c>
      <c r="Q15" s="18"/>
      <c r="R15" s="18" t="n">
        <v>0</v>
      </c>
      <c r="S15" s="18" t="n">
        <f aca="false">Q15-R15</f>
        <v>0</v>
      </c>
      <c r="T15" s="19" t="n">
        <f aca="false">E15+H15+K15+N15+Q15</f>
        <v>300</v>
      </c>
      <c r="U15" s="20" t="n">
        <f aca="false">C15-F15-I15-L15-O15-R15</f>
        <v>0</v>
      </c>
      <c r="V15" s="17" t="n">
        <f aca="false">D15-G15-J15-M15-P15-S15</f>
        <v>-100</v>
      </c>
      <c r="W15" s="6"/>
    </row>
    <row r="16" customFormat="false" ht="21" hidden="false" customHeight="true" outlineLevel="0" collapsed="false">
      <c r="A16" s="15"/>
      <c r="B16" s="16" t="s">
        <v>24</v>
      </c>
      <c r="C16" s="17" t="n">
        <f aca="false">450*2</f>
        <v>900</v>
      </c>
      <c r="D16" s="17" t="n">
        <v>0</v>
      </c>
      <c r="E16" s="18" t="n">
        <v>450</v>
      </c>
      <c r="F16" s="18" t="n">
        <v>450</v>
      </c>
      <c r="G16" s="18" t="n">
        <f aca="false">E16-F16</f>
        <v>0</v>
      </c>
      <c r="H16" s="18" t="n">
        <v>0</v>
      </c>
      <c r="I16" s="18" t="n">
        <v>0</v>
      </c>
      <c r="J16" s="18" t="n">
        <f aca="false">H16-I16</f>
        <v>0</v>
      </c>
      <c r="K16" s="18"/>
      <c r="L16" s="18" t="n">
        <v>0</v>
      </c>
      <c r="M16" s="18" t="n">
        <f aca="false">K16-L16</f>
        <v>0</v>
      </c>
      <c r="N16" s="18"/>
      <c r="O16" s="18" t="n">
        <v>0</v>
      </c>
      <c r="P16" s="18" t="n">
        <f aca="false">N16-O16</f>
        <v>0</v>
      </c>
      <c r="Q16" s="18"/>
      <c r="R16" s="18" t="n">
        <v>0</v>
      </c>
      <c r="S16" s="18" t="n">
        <f aca="false">Q16-R16</f>
        <v>0</v>
      </c>
      <c r="T16" s="19" t="n">
        <f aca="false">E16+H16+K16+N16+Q16</f>
        <v>450</v>
      </c>
      <c r="U16" s="20" t="n">
        <f aca="false">C16-F16-I16-L16-O16-R16</f>
        <v>450</v>
      </c>
      <c r="V16" s="17" t="n">
        <f aca="false">D16-G16-J16-M16-P16-S16</f>
        <v>0</v>
      </c>
      <c r="W16" s="6"/>
    </row>
    <row r="17" customFormat="false" ht="25.5" hidden="false" customHeight="true" outlineLevel="0" collapsed="false">
      <c r="A17" s="15"/>
      <c r="B17" s="24" t="s">
        <v>25</v>
      </c>
      <c r="C17" s="17" t="n">
        <f aca="false">SUM(C4:C15)</f>
        <v>7105</v>
      </c>
      <c r="D17" s="17" t="n">
        <f aca="false">SUM(D4:D15)</f>
        <v>2567</v>
      </c>
      <c r="E17" s="25" t="n">
        <f aca="false">SUM(E4:E16)</f>
        <v>1704</v>
      </c>
      <c r="F17" s="25" t="n">
        <f aca="false">SUM(F4:F16)</f>
        <v>1490</v>
      </c>
      <c r="G17" s="25" t="n">
        <f aca="false">SUM(G4:G16)</f>
        <v>214</v>
      </c>
      <c r="H17" s="25" t="n">
        <f aca="false">SUM(H4:H16)</f>
        <v>1405</v>
      </c>
      <c r="I17" s="25" t="n">
        <f aca="false">SUM(I4:I16)</f>
        <v>825</v>
      </c>
      <c r="J17" s="25" t="n">
        <f aca="false">SUM(J4:J16)</f>
        <v>580</v>
      </c>
      <c r="K17" s="25" t="n">
        <f aca="false">SUM(K4:K15)</f>
        <v>0</v>
      </c>
      <c r="L17" s="25" t="n">
        <f aca="false">SUM(L4:L15)</f>
        <v>0</v>
      </c>
      <c r="M17" s="25" t="n">
        <f aca="false">SUM(M4:M15)</f>
        <v>0</v>
      </c>
      <c r="N17" s="25" t="n">
        <f aca="false">SUM(N4:N15)</f>
        <v>0</v>
      </c>
      <c r="O17" s="25" t="n">
        <f aca="false">SUM(O4:O15)</f>
        <v>0</v>
      </c>
      <c r="P17" s="25" t="n">
        <f aca="false">SUM(P4:P15)</f>
        <v>0</v>
      </c>
      <c r="Q17" s="25" t="n">
        <f aca="false">SUM(Q4:Q15)</f>
        <v>0</v>
      </c>
      <c r="R17" s="25" t="n">
        <f aca="false">SUM(R4:R15)</f>
        <v>0</v>
      </c>
      <c r="S17" s="25" t="n">
        <f aca="false">SUM(S4:S15)</f>
        <v>0</v>
      </c>
      <c r="T17" s="25" t="n">
        <f aca="false">SUM(T4:T15)</f>
        <v>2659</v>
      </c>
      <c r="U17" s="20" t="n">
        <f aca="false">SUM(U4:U15)</f>
        <v>5240</v>
      </c>
      <c r="V17" s="25" t="n">
        <f aca="false">SUM(V4:V15)</f>
        <v>1773</v>
      </c>
      <c r="W17" s="6"/>
    </row>
    <row r="18" customFormat="false" ht="16.5" hidden="false" customHeight="false" outlineLevel="0" collapsed="false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6"/>
      <c r="V18" s="26"/>
      <c r="W18" s="6"/>
    </row>
    <row r="19" customFormat="false" ht="16.5" hidden="false" customHeight="false" outlineLevel="0" collapsed="false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6"/>
      <c r="V19" s="26"/>
      <c r="W19" s="6"/>
    </row>
    <row r="20" customFormat="false" ht="31.5" hidden="false" customHeight="true" outlineLevel="0" collapsed="false">
      <c r="B20" s="7"/>
      <c r="C20" s="7" t="s">
        <v>26</v>
      </c>
      <c r="D20" s="7" t="s">
        <v>9</v>
      </c>
      <c r="E20" s="11" t="s">
        <v>27</v>
      </c>
      <c r="F20" s="7" t="s">
        <v>28</v>
      </c>
      <c r="G20" s="26"/>
      <c r="H20" s="26"/>
      <c r="I20" s="28" t="s">
        <v>29</v>
      </c>
      <c r="J20" s="28"/>
      <c r="K20" s="28"/>
      <c r="L20" s="28"/>
      <c r="M20" s="29" t="n">
        <f aca="false">M36-F27</f>
        <v>15106</v>
      </c>
      <c r="N20" s="30"/>
      <c r="O20" s="26"/>
      <c r="P20" s="31"/>
      <c r="Q20" s="31"/>
      <c r="R20" s="31"/>
      <c r="S20" s="31"/>
      <c r="T20" s="30"/>
      <c r="U20" s="26"/>
      <c r="V20" s="26" t="s">
        <v>30</v>
      </c>
      <c r="W20" s="32" t="n">
        <f aca="false">W22+W24</f>
        <v>7697</v>
      </c>
    </row>
    <row r="21" customFormat="false" ht="16.5" hidden="false" customHeight="true" outlineLevel="0" collapsed="false">
      <c r="B21" s="33" t="s">
        <v>31</v>
      </c>
      <c r="C21" s="25" t="n">
        <v>2199</v>
      </c>
      <c r="D21" s="25"/>
      <c r="E21" s="25"/>
      <c r="F21" s="25"/>
      <c r="G21" s="26"/>
      <c r="H21" s="26"/>
      <c r="I21" s="34"/>
      <c r="J21" s="34"/>
      <c r="K21" s="34"/>
      <c r="L21" s="34"/>
      <c r="M21" s="34"/>
      <c r="N21" s="26"/>
      <c r="O21" s="26"/>
      <c r="P21" s="26"/>
      <c r="Q21" s="26"/>
      <c r="R21" s="26"/>
      <c r="S21" s="35" t="s">
        <v>32</v>
      </c>
      <c r="T21" s="35"/>
      <c r="U21" s="35"/>
      <c r="V21" s="26"/>
      <c r="W21" s="6"/>
    </row>
    <row r="22" customFormat="false" ht="17.25" hidden="false" customHeight="true" outlineLevel="0" collapsed="false">
      <c r="B22" s="33"/>
      <c r="C22" s="25" t="n">
        <v>800</v>
      </c>
      <c r="D22" s="25"/>
      <c r="E22" s="25"/>
      <c r="F22" s="25" t="n">
        <f aca="false">C21+C22</f>
        <v>2999</v>
      </c>
      <c r="G22" s="26"/>
      <c r="H22" s="26"/>
      <c r="I22" s="36" t="s">
        <v>3</v>
      </c>
      <c r="J22" s="36"/>
      <c r="K22" s="36"/>
      <c r="L22" s="36"/>
      <c r="M22" s="36"/>
      <c r="N22" s="26"/>
      <c r="O22" s="27"/>
      <c r="P22" s="31"/>
      <c r="Q22" s="31"/>
      <c r="R22" s="31"/>
      <c r="S22" s="35" t="s">
        <v>33</v>
      </c>
      <c r="T22" s="35"/>
      <c r="U22" s="35"/>
      <c r="V22" s="37"/>
      <c r="W22" s="32" t="n">
        <f aca="false">F30+U17</f>
        <v>5924</v>
      </c>
    </row>
    <row r="23" customFormat="false" ht="17.25" hidden="false" customHeight="true" outlineLevel="0" collapsed="false">
      <c r="B23" s="33" t="s">
        <v>1</v>
      </c>
      <c r="C23" s="25"/>
      <c r="D23" s="25"/>
      <c r="E23" s="25" t="n">
        <f aca="false">F17</f>
        <v>1490</v>
      </c>
      <c r="F23" s="25" t="n">
        <f aca="false">F22-E23</f>
        <v>1509</v>
      </c>
      <c r="G23" s="26"/>
      <c r="H23" s="26"/>
      <c r="I23" s="38" t="s">
        <v>34</v>
      </c>
      <c r="J23" s="38"/>
      <c r="K23" s="38"/>
      <c r="L23" s="38"/>
      <c r="M23" s="20" t="n">
        <f aca="false">150*5+U4</f>
        <v>1086</v>
      </c>
      <c r="N23" s="26"/>
      <c r="O23" s="26"/>
      <c r="P23" s="31"/>
      <c r="Q23" s="31"/>
      <c r="R23" s="31"/>
      <c r="S23" s="39"/>
      <c r="T23" s="39"/>
      <c r="U23" s="40"/>
      <c r="V23" s="37"/>
      <c r="W23" s="32"/>
    </row>
    <row r="24" customFormat="false" ht="17.25" hidden="false" customHeight="true" outlineLevel="0" collapsed="false">
      <c r="B24" s="33" t="s">
        <v>2</v>
      </c>
      <c r="C24" s="25"/>
      <c r="D24" s="25"/>
      <c r="E24" s="25" t="n">
        <f aca="false">I17</f>
        <v>825</v>
      </c>
      <c r="F24" s="25" t="n">
        <f aca="false">F23-E24</f>
        <v>684</v>
      </c>
      <c r="G24" s="26"/>
      <c r="H24" s="26"/>
      <c r="I24" s="38" t="s">
        <v>13</v>
      </c>
      <c r="J24" s="38"/>
      <c r="K24" s="38"/>
      <c r="L24" s="38"/>
      <c r="M24" s="20" t="n">
        <f aca="false">150*5+U5</f>
        <v>1050</v>
      </c>
      <c r="N24" s="26"/>
      <c r="O24" s="26"/>
      <c r="P24" s="31"/>
      <c r="Q24" s="31"/>
      <c r="R24" s="31"/>
      <c r="S24" s="35" t="s">
        <v>35</v>
      </c>
      <c r="T24" s="35"/>
      <c r="U24" s="35"/>
      <c r="V24" s="37"/>
      <c r="W24" s="32" t="n">
        <f aca="false">V17</f>
        <v>1773</v>
      </c>
    </row>
    <row r="25" customFormat="false" ht="17.25" hidden="false" customHeight="true" outlineLevel="0" collapsed="false">
      <c r="B25" s="33"/>
      <c r="C25" s="25"/>
      <c r="D25" s="25"/>
      <c r="E25" s="25" t="n">
        <f aca="false">L17</f>
        <v>0</v>
      </c>
      <c r="F25" s="25" t="n">
        <f aca="false">F24-E25</f>
        <v>684</v>
      </c>
      <c r="G25" s="26"/>
      <c r="H25" s="26"/>
      <c r="I25" s="41" t="s">
        <v>14</v>
      </c>
      <c r="J25" s="41"/>
      <c r="K25" s="41"/>
      <c r="L25" s="41"/>
      <c r="M25" s="20" t="n">
        <f aca="false">150*5+U6</f>
        <v>750</v>
      </c>
      <c r="N25" s="26"/>
      <c r="O25" s="26"/>
      <c r="P25" s="31"/>
      <c r="Q25" s="31"/>
      <c r="R25" s="31"/>
      <c r="S25" s="39"/>
      <c r="T25" s="39"/>
      <c r="U25" s="40"/>
      <c r="V25" s="37"/>
      <c r="W25" s="32"/>
    </row>
    <row r="26" customFormat="false" ht="17.25" hidden="false" customHeight="true" outlineLevel="0" collapsed="false">
      <c r="B26" s="33"/>
      <c r="C26" s="25"/>
      <c r="D26" s="25"/>
      <c r="E26" s="25" t="n">
        <f aca="false">O17</f>
        <v>0</v>
      </c>
      <c r="F26" s="25" t="n">
        <f aca="false">F25-E26</f>
        <v>684</v>
      </c>
      <c r="G26" s="26"/>
      <c r="H26" s="26"/>
      <c r="I26" s="38" t="s">
        <v>15</v>
      </c>
      <c r="J26" s="38"/>
      <c r="K26" s="38"/>
      <c r="L26" s="38"/>
      <c r="M26" s="20" t="n">
        <f aca="false">150*5+U7</f>
        <v>3805</v>
      </c>
      <c r="N26" s="26"/>
      <c r="O26" s="26"/>
      <c r="P26" s="31"/>
      <c r="Q26" s="31"/>
      <c r="R26" s="31"/>
      <c r="S26" s="39"/>
      <c r="T26" s="39"/>
      <c r="U26" s="40"/>
      <c r="V26" s="37"/>
      <c r="W26" s="32"/>
    </row>
    <row r="27" customFormat="false" ht="17.25" hidden="false" customHeight="true" outlineLevel="0" collapsed="false">
      <c r="B27" s="33"/>
      <c r="C27" s="25"/>
      <c r="D27" s="25"/>
      <c r="E27" s="25" t="n">
        <f aca="false">R17</f>
        <v>0</v>
      </c>
      <c r="F27" s="25" t="n">
        <f aca="false">F26-E27</f>
        <v>684</v>
      </c>
      <c r="G27" s="26"/>
      <c r="H27" s="26"/>
      <c r="I27" s="38" t="s">
        <v>16</v>
      </c>
      <c r="J27" s="38"/>
      <c r="K27" s="38"/>
      <c r="L27" s="38"/>
      <c r="M27" s="20" t="n">
        <f aca="false">150*5+U8</f>
        <v>1050</v>
      </c>
      <c r="N27" s="26"/>
      <c r="O27" s="26"/>
      <c r="P27" s="31"/>
      <c r="Q27" s="31"/>
      <c r="R27" s="31"/>
      <c r="S27" s="39"/>
      <c r="T27" s="39"/>
      <c r="U27" s="40"/>
      <c r="V27" s="37"/>
      <c r="W27" s="32"/>
    </row>
    <row r="28" customFormat="false" ht="16.5" hidden="false" customHeight="true" outlineLevel="0" collapsed="false">
      <c r="B28" s="42" t="s">
        <v>36</v>
      </c>
      <c r="C28" s="25"/>
      <c r="D28" s="25"/>
      <c r="E28" s="43" t="n">
        <f aca="false">E22+E23+E24+E25+E26+E27</f>
        <v>2315</v>
      </c>
      <c r="F28" s="43"/>
      <c r="G28" s="26"/>
      <c r="H28" s="26"/>
      <c r="I28" s="38" t="s">
        <v>17</v>
      </c>
      <c r="J28" s="38"/>
      <c r="K28" s="38"/>
      <c r="L28" s="38"/>
      <c r="M28" s="20" t="n">
        <f aca="false">150*5+U9</f>
        <v>789</v>
      </c>
      <c r="N28" s="26"/>
      <c r="O28" s="26"/>
      <c r="P28" s="44"/>
      <c r="Q28" s="44"/>
      <c r="R28" s="44"/>
      <c r="S28" s="45"/>
      <c r="T28" s="46"/>
      <c r="U28" s="47"/>
      <c r="V28" s="26"/>
      <c r="W28" s="6"/>
    </row>
    <row r="29" customFormat="false" ht="16.5" hidden="false" customHeight="true" outlineLevel="0" collapsed="false">
      <c r="B29" s="48" t="s">
        <v>37</v>
      </c>
      <c r="C29" s="49"/>
      <c r="D29" s="49"/>
      <c r="E29" s="50"/>
      <c r="F29" s="50"/>
      <c r="G29" s="26"/>
      <c r="H29" s="26"/>
      <c r="I29" s="38" t="s">
        <v>18</v>
      </c>
      <c r="J29" s="38"/>
      <c r="K29" s="38"/>
      <c r="L29" s="38"/>
      <c r="M29" s="20" t="n">
        <f aca="false">150*5+U10</f>
        <v>750</v>
      </c>
      <c r="N29" s="26"/>
      <c r="O29" s="26"/>
      <c r="P29" s="44"/>
      <c r="Q29" s="44"/>
      <c r="R29" s="44"/>
      <c r="S29" s="44"/>
      <c r="T29" s="27"/>
      <c r="U29" s="26"/>
      <c r="V29" s="26"/>
      <c r="W29" s="6"/>
    </row>
    <row r="30" customFormat="false" ht="16.5" hidden="false" customHeight="true" outlineLevel="0" collapsed="false">
      <c r="B30" s="26"/>
      <c r="C30" s="26"/>
      <c r="D30" s="26"/>
      <c r="E30" s="27" t="n">
        <f aca="false">E28-E29</f>
        <v>2315</v>
      </c>
      <c r="F30" s="27" t="n">
        <f aca="false">F27+E29</f>
        <v>684</v>
      </c>
      <c r="G30" s="26"/>
      <c r="H30" s="26"/>
      <c r="I30" s="38" t="s">
        <v>19</v>
      </c>
      <c r="J30" s="38"/>
      <c r="K30" s="38"/>
      <c r="L30" s="38"/>
      <c r="M30" s="20" t="n">
        <f aca="false">150*5+U11</f>
        <v>854</v>
      </c>
      <c r="N30" s="26"/>
      <c r="O30" s="26"/>
      <c r="P30" s="44"/>
      <c r="Q30" s="44"/>
      <c r="R30" s="44"/>
      <c r="S30" s="44"/>
      <c r="T30" s="27"/>
      <c r="U30" s="26"/>
      <c r="V30" s="26"/>
      <c r="W30" s="6"/>
    </row>
    <row r="31" customFormat="false" ht="16.5" hidden="false" customHeight="true" outlineLevel="0" collapsed="false">
      <c r="B31" s="26"/>
      <c r="C31" s="26"/>
      <c r="D31" s="26"/>
      <c r="E31" s="26"/>
      <c r="F31" s="27"/>
      <c r="G31" s="26"/>
      <c r="H31" s="26"/>
      <c r="I31" s="38" t="s">
        <v>20</v>
      </c>
      <c r="J31" s="38"/>
      <c r="K31" s="38"/>
      <c r="L31" s="38"/>
      <c r="M31" s="20" t="n">
        <f aca="false">150*5+U12</f>
        <v>1556</v>
      </c>
      <c r="N31" s="26"/>
      <c r="O31" s="26"/>
      <c r="P31" s="44"/>
      <c r="Q31" s="44"/>
      <c r="R31" s="44"/>
      <c r="S31" s="44"/>
      <c r="T31" s="27"/>
      <c r="U31" s="26"/>
      <c r="V31" s="26"/>
      <c r="W31" s="6"/>
    </row>
    <row r="32" customFormat="false" ht="16.5" hidden="false" customHeight="true" outlineLevel="0" collapsed="false">
      <c r="B32" s="26"/>
      <c r="C32" s="27"/>
      <c r="D32" s="27"/>
      <c r="E32" s="27"/>
      <c r="F32" s="27"/>
      <c r="G32" s="26"/>
      <c r="H32" s="26"/>
      <c r="I32" s="38" t="s">
        <v>21</v>
      </c>
      <c r="J32" s="38"/>
      <c r="K32" s="38"/>
      <c r="L32" s="38"/>
      <c r="M32" s="20" t="n">
        <f aca="false">150*5+U13</f>
        <v>750</v>
      </c>
      <c r="N32" s="26"/>
      <c r="O32" s="26"/>
      <c r="P32" s="44"/>
      <c r="Q32" s="44"/>
      <c r="R32" s="44"/>
      <c r="S32" s="44"/>
      <c r="T32" s="27"/>
      <c r="U32" s="26"/>
      <c r="V32" s="26"/>
      <c r="W32" s="6"/>
    </row>
    <row r="33" customFormat="false" ht="16.5" hidden="false" customHeight="true" outlineLevel="0" collapsed="false">
      <c r="B33" s="51"/>
      <c r="C33" s="27"/>
      <c r="D33" s="27"/>
      <c r="E33" s="27"/>
      <c r="F33" s="26"/>
      <c r="G33" s="26"/>
      <c r="H33" s="26"/>
      <c r="I33" s="38" t="s">
        <v>22</v>
      </c>
      <c r="J33" s="38"/>
      <c r="K33" s="38"/>
      <c r="L33" s="38"/>
      <c r="M33" s="20" t="n">
        <f aca="false">150*5+U14</f>
        <v>1050</v>
      </c>
      <c r="N33" s="52"/>
      <c r="O33" s="26"/>
      <c r="P33" s="44"/>
      <c r="Q33" s="44"/>
      <c r="R33" s="44"/>
      <c r="S33" s="44"/>
      <c r="T33" s="27"/>
      <c r="U33" s="26"/>
      <c r="V33" s="26"/>
      <c r="W33" s="6"/>
    </row>
    <row r="34" customFormat="false" ht="25.5" hidden="false" customHeight="true" outlineLevel="0" collapsed="false">
      <c r="B34" s="26"/>
      <c r="C34" s="26"/>
      <c r="D34" s="26"/>
      <c r="E34" s="26"/>
      <c r="F34" s="26"/>
      <c r="G34" s="26"/>
      <c r="H34" s="26"/>
      <c r="I34" s="38" t="s">
        <v>23</v>
      </c>
      <c r="J34" s="38"/>
      <c r="K34" s="38"/>
      <c r="L34" s="38"/>
      <c r="M34" s="20" t="n">
        <f aca="false">100*5+U15</f>
        <v>500</v>
      </c>
      <c r="N34" s="26"/>
      <c r="O34" s="26"/>
      <c r="P34" s="44"/>
      <c r="Q34" s="44"/>
      <c r="R34" s="44"/>
      <c r="S34" s="44"/>
      <c r="T34" s="27"/>
      <c r="U34" s="26"/>
      <c r="V34" s="26"/>
      <c r="W34" s="6"/>
    </row>
    <row r="35" customFormat="false" ht="27" hidden="false" customHeight="true" outlineLevel="0" collapsed="false">
      <c r="B35" s="26"/>
      <c r="C35" s="26"/>
      <c r="D35" s="26"/>
      <c r="E35" s="26"/>
      <c r="F35" s="26"/>
      <c r="G35" s="26"/>
      <c r="H35" s="26"/>
      <c r="I35" s="38" t="s">
        <v>24</v>
      </c>
      <c r="J35" s="38"/>
      <c r="K35" s="38"/>
      <c r="L35" s="38"/>
      <c r="M35" s="20" t="n">
        <f aca="false">450*4</f>
        <v>1800</v>
      </c>
      <c r="N35" s="26"/>
      <c r="O35" s="26"/>
      <c r="P35" s="44"/>
      <c r="Q35" s="44"/>
      <c r="R35" s="44"/>
      <c r="S35" s="44"/>
      <c r="T35" s="27"/>
      <c r="U35" s="26"/>
      <c r="V35" s="26"/>
      <c r="W35" s="6"/>
    </row>
    <row r="36" customFormat="false" ht="16.5" hidden="false" customHeight="true" outlineLevel="0" collapsed="false">
      <c r="B36" s="30"/>
      <c r="C36" s="53"/>
      <c r="D36" s="53"/>
      <c r="E36" s="26"/>
      <c r="F36" s="26"/>
      <c r="G36" s="26"/>
      <c r="H36" s="26"/>
      <c r="I36" s="38" t="s">
        <v>25</v>
      </c>
      <c r="J36" s="38"/>
      <c r="K36" s="38"/>
      <c r="L36" s="38"/>
      <c r="M36" s="54" t="n">
        <f aca="false">SUM(M23:M35)</f>
        <v>15790</v>
      </c>
      <c r="N36" s="26"/>
      <c r="O36" s="26"/>
      <c r="P36" s="44"/>
      <c r="Q36" s="44"/>
      <c r="R36" s="44"/>
      <c r="S36" s="44"/>
      <c r="T36" s="27"/>
      <c r="U36" s="26"/>
      <c r="V36" s="26"/>
      <c r="W36" s="6"/>
    </row>
    <row r="39" customFormat="false" ht="16.5" hidden="false" customHeight="false" outlineLevel="0" collapsed="false">
      <c r="B39" s="55"/>
    </row>
  </sheetData>
  <mergeCells count="25">
    <mergeCell ref="B1:V1"/>
    <mergeCell ref="E2:G2"/>
    <mergeCell ref="H2:J2"/>
    <mergeCell ref="K2:M2"/>
    <mergeCell ref="N2:P2"/>
    <mergeCell ref="Q2:S2"/>
    <mergeCell ref="I20:L20"/>
    <mergeCell ref="S21:U21"/>
    <mergeCell ref="I22:M22"/>
    <mergeCell ref="S22:U22"/>
    <mergeCell ref="I23:L23"/>
    <mergeCell ref="I24:L24"/>
    <mergeCell ref="S24:U24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  <mergeCell ref="I36:L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T22" activeCellId="0" sqref="T22"/>
    </sheetView>
  </sheetViews>
  <sheetFormatPr defaultColWidth="9.14453125" defaultRowHeight="16.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2" width="38"/>
    <col collapsed="false" customWidth="true" hidden="false" outlineLevel="0" max="4" min="3" style="1" width="10.57"/>
    <col collapsed="false" customWidth="true" hidden="false" outlineLevel="0" max="5" min="5" style="1" width="9.43"/>
    <col collapsed="false" customWidth="false" hidden="false" outlineLevel="0" max="17" min="6" style="1" width="9.14"/>
    <col collapsed="false" customWidth="true" hidden="false" outlineLevel="0" max="18" min="18" style="1" width="12.86"/>
    <col collapsed="false" customWidth="false" hidden="false" outlineLevel="0" max="20" min="19" style="1" width="9.14"/>
    <col collapsed="false" customWidth="true" hidden="false" outlineLevel="0" max="21" min="21" style="1" width="11"/>
    <col collapsed="false" customWidth="false" hidden="false" outlineLevel="0" max="22" min="22" style="3" width="9.14"/>
    <col collapsed="false" customWidth="false" hidden="false" outlineLevel="0" max="16384" min="23" style="1" width="9.14"/>
  </cols>
  <sheetData>
    <row r="1" customFormat="false" ht="16.5" hidden="false" customHeight="true" outlineLevel="0" collapsed="false">
      <c r="A1" s="4"/>
      <c r="B1" s="5" t="s">
        <v>38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customFormat="false" ht="16.5" hidden="false" customHeight="true" outlineLevel="0" collapsed="false">
      <c r="A2" s="4"/>
      <c r="B2" s="7"/>
      <c r="C2" s="7"/>
      <c r="D2" s="7"/>
      <c r="E2" s="8" t="s">
        <v>39</v>
      </c>
      <c r="F2" s="8"/>
      <c r="G2" s="8"/>
      <c r="H2" s="7" t="s">
        <v>40</v>
      </c>
      <c r="I2" s="7"/>
      <c r="J2" s="7"/>
      <c r="K2" s="7" t="s">
        <v>41</v>
      </c>
      <c r="L2" s="7"/>
      <c r="M2" s="7"/>
      <c r="N2" s="7" t="s">
        <v>42</v>
      </c>
      <c r="O2" s="7"/>
      <c r="P2" s="7"/>
      <c r="Q2" s="7" t="s">
        <v>43</v>
      </c>
      <c r="R2" s="7"/>
      <c r="S2" s="7"/>
      <c r="T2" s="9"/>
      <c r="U2" s="7"/>
      <c r="V2" s="6"/>
    </row>
    <row r="3" customFormat="false" ht="22.35" hidden="false" customHeight="false" outlineLevel="0" collapsed="false">
      <c r="A3" s="4"/>
      <c r="B3" s="7"/>
      <c r="C3" s="11" t="s">
        <v>3</v>
      </c>
      <c r="D3" s="11" t="s">
        <v>4</v>
      </c>
      <c r="E3" s="12" t="s">
        <v>5</v>
      </c>
      <c r="F3" s="12" t="s">
        <v>6</v>
      </c>
      <c r="G3" s="12" t="s">
        <v>7</v>
      </c>
      <c r="H3" s="12" t="s">
        <v>5</v>
      </c>
      <c r="I3" s="12" t="s">
        <v>6</v>
      </c>
      <c r="J3" s="12" t="s">
        <v>7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6</v>
      </c>
      <c r="P3" s="12" t="s">
        <v>7</v>
      </c>
      <c r="Q3" s="12" t="s">
        <v>5</v>
      </c>
      <c r="R3" s="12" t="s">
        <v>6</v>
      </c>
      <c r="S3" s="12" t="s">
        <v>7</v>
      </c>
      <c r="T3" s="13" t="s">
        <v>9</v>
      </c>
      <c r="U3" s="11" t="s">
        <v>11</v>
      </c>
      <c r="V3" s="6"/>
    </row>
    <row r="4" customFormat="false" ht="22.5" hidden="false" customHeight="true" outlineLevel="0" collapsed="false">
      <c r="A4" s="15" t="n">
        <v>1</v>
      </c>
      <c r="B4" s="16" t="s">
        <v>12</v>
      </c>
      <c r="C4" s="17" t="n">
        <f aca="false">150*5+'29-30.12'!U4</f>
        <v>1086</v>
      </c>
      <c r="D4" s="17" t="n">
        <v>0</v>
      </c>
      <c r="E4" s="56" t="n">
        <v>0</v>
      </c>
      <c r="F4" s="56" t="n">
        <v>0</v>
      </c>
      <c r="G4" s="56" t="n">
        <f aca="false">E4-F4</f>
        <v>0</v>
      </c>
      <c r="H4" s="56" t="n">
        <f aca="false">'заказ 12-16.01'!C4</f>
        <v>137</v>
      </c>
      <c r="I4" s="56" t="n">
        <v>137</v>
      </c>
      <c r="J4" s="56" t="n">
        <f aca="false">H4-I4</f>
        <v>0</v>
      </c>
      <c r="K4" s="56" t="n">
        <f aca="false">'заказ 12-16.01'!E4</f>
        <v>149</v>
      </c>
      <c r="L4" s="56" t="n">
        <v>149</v>
      </c>
      <c r="M4" s="56" t="n">
        <f aca="false">K4-L4</f>
        <v>0</v>
      </c>
      <c r="N4" s="56" t="n">
        <f aca="false">'заказ 12-16.01'!G4</f>
        <v>154</v>
      </c>
      <c r="O4" s="56" t="n">
        <v>154</v>
      </c>
      <c r="P4" s="56" t="n">
        <f aca="false">N4-O4</f>
        <v>0</v>
      </c>
      <c r="Q4" s="56" t="n">
        <f aca="false">'заказ 12-16.01'!I4</f>
        <v>149</v>
      </c>
      <c r="R4" s="56" t="n">
        <v>149</v>
      </c>
      <c r="S4" s="56" t="n">
        <f aca="false">Q4-R4</f>
        <v>0</v>
      </c>
      <c r="T4" s="19" t="n">
        <f aca="false">E4+H4+K4+N4+Q4</f>
        <v>589</v>
      </c>
      <c r="U4" s="17" t="n">
        <f aca="false">D4-G4-J4-M4-P4-S4</f>
        <v>0</v>
      </c>
      <c r="V4" s="6"/>
    </row>
    <row r="5" customFormat="false" ht="22.5" hidden="false" customHeight="true" outlineLevel="0" collapsed="false">
      <c r="A5" s="15" t="n">
        <v>2</v>
      </c>
      <c r="B5" s="16" t="s">
        <v>13</v>
      </c>
      <c r="C5" s="17" t="n">
        <f aca="false">150*5+'29-30.12'!U5</f>
        <v>1050</v>
      </c>
      <c r="D5" s="17" t="n">
        <v>0</v>
      </c>
      <c r="E5" s="56" t="n">
        <v>0</v>
      </c>
      <c r="F5" s="56" t="n">
        <v>0</v>
      </c>
      <c r="G5" s="56" t="n">
        <f aca="false">E5-F5</f>
        <v>0</v>
      </c>
      <c r="H5" s="56" t="n">
        <f aca="false">'заказ 12-16.01'!C5</f>
        <v>492</v>
      </c>
      <c r="I5" s="56" t="n">
        <v>492</v>
      </c>
      <c r="J5" s="56" t="n">
        <f aca="false">H5-I5</f>
        <v>0</v>
      </c>
      <c r="K5" s="56" t="n">
        <f aca="false">'заказ 12-16.01'!E5</f>
        <v>0</v>
      </c>
      <c r="L5" s="56" t="n">
        <v>0</v>
      </c>
      <c r="M5" s="56" t="n">
        <f aca="false">K5-L5</f>
        <v>0</v>
      </c>
      <c r="N5" s="56" t="n">
        <f aca="false">'заказ 12-16.01'!G5</f>
        <v>138</v>
      </c>
      <c r="O5" s="56" t="n">
        <v>138</v>
      </c>
      <c r="P5" s="56" t="n">
        <f aca="false">N5-O5</f>
        <v>0</v>
      </c>
      <c r="Q5" s="56" t="n">
        <f aca="false">'заказ 12-16.01'!I5</f>
        <v>0</v>
      </c>
      <c r="R5" s="56" t="n">
        <v>0</v>
      </c>
      <c r="S5" s="56" t="n">
        <f aca="false">Q5-R5</f>
        <v>0</v>
      </c>
      <c r="T5" s="19" t="n">
        <f aca="false">E5+H5+K5+N5+Q5</f>
        <v>630</v>
      </c>
      <c r="U5" s="17" t="n">
        <f aca="false">D5-G5-J5-M5-P5-S5</f>
        <v>0</v>
      </c>
      <c r="V5" s="6"/>
    </row>
    <row r="6" customFormat="false" ht="23.25" hidden="false" customHeight="true" outlineLevel="0" collapsed="false">
      <c r="A6" s="15" t="n">
        <v>3</v>
      </c>
      <c r="B6" s="16" t="s">
        <v>14</v>
      </c>
      <c r="C6" s="17" t="n">
        <f aca="false">150*5+'29-30.12'!U6</f>
        <v>750</v>
      </c>
      <c r="D6" s="17" t="n">
        <f aca="false">46+2500</f>
        <v>2546</v>
      </c>
      <c r="E6" s="56" t="n">
        <v>0</v>
      </c>
      <c r="F6" s="56" t="n">
        <v>0</v>
      </c>
      <c r="G6" s="56" t="n">
        <f aca="false">E6-F6</f>
        <v>0</v>
      </c>
      <c r="H6" s="56" t="n">
        <f aca="false">'заказ 12-16.01'!C6</f>
        <v>579</v>
      </c>
      <c r="I6" s="56" t="n">
        <v>300</v>
      </c>
      <c r="J6" s="56" t="n">
        <f aca="false">H6-I6</f>
        <v>279</v>
      </c>
      <c r="K6" s="56" t="n">
        <f aca="false">'заказ 12-16.01'!E6</f>
        <v>579</v>
      </c>
      <c r="L6" s="56" t="n">
        <v>150</v>
      </c>
      <c r="M6" s="56" t="n">
        <f aca="false">K6-L6</f>
        <v>429</v>
      </c>
      <c r="N6" s="56" t="n">
        <f aca="false">'заказ 12-16.01'!G6</f>
        <v>579</v>
      </c>
      <c r="O6" s="56" t="n">
        <v>150</v>
      </c>
      <c r="P6" s="56" t="n">
        <f aca="false">N6-O6</f>
        <v>429</v>
      </c>
      <c r="Q6" s="56" t="n">
        <f aca="false">'заказ 12-16.01'!I6</f>
        <v>579</v>
      </c>
      <c r="R6" s="56" t="n">
        <v>150</v>
      </c>
      <c r="S6" s="56" t="n">
        <f aca="false">Q6-R6</f>
        <v>429</v>
      </c>
      <c r="T6" s="19" t="n">
        <f aca="false">E6+H6+K6+N6+Q6</f>
        <v>2316</v>
      </c>
      <c r="U6" s="17" t="n">
        <f aca="false">D6-G6-J6-M6-P6-S6</f>
        <v>980</v>
      </c>
      <c r="V6" s="6"/>
    </row>
    <row r="7" customFormat="false" ht="25.5" hidden="false" customHeight="true" outlineLevel="0" collapsed="false">
      <c r="A7" s="15" t="n">
        <v>4</v>
      </c>
      <c r="B7" s="16" t="s">
        <v>15</v>
      </c>
      <c r="C7" s="17" t="n">
        <f aca="false">150*5+'29-30.12'!U7</f>
        <v>3805</v>
      </c>
      <c r="D7" s="17" t="n">
        <v>0</v>
      </c>
      <c r="E7" s="56" t="n">
        <v>0</v>
      </c>
      <c r="F7" s="56" t="n">
        <v>0</v>
      </c>
      <c r="G7" s="56" t="n">
        <f aca="false">E7-F7</f>
        <v>0</v>
      </c>
      <c r="H7" s="56" t="n">
        <f aca="false">'заказ 12-16.01'!C7</f>
        <v>129</v>
      </c>
      <c r="I7" s="56" t="n">
        <v>129</v>
      </c>
      <c r="J7" s="56" t="n">
        <f aca="false">H7-I7</f>
        <v>0</v>
      </c>
      <c r="K7" s="56" t="n">
        <f aca="false">'заказ 12-16.01'!E7</f>
        <v>104</v>
      </c>
      <c r="L7" s="56" t="n">
        <v>104</v>
      </c>
      <c r="M7" s="56" t="n">
        <f aca="false">K7-L7</f>
        <v>0</v>
      </c>
      <c r="N7" s="56" t="n">
        <f aca="false">'заказ 12-16.01'!G7</f>
        <v>151</v>
      </c>
      <c r="O7" s="56" t="n">
        <v>151</v>
      </c>
      <c r="P7" s="56" t="n">
        <f aca="false">N7-O7</f>
        <v>0</v>
      </c>
      <c r="Q7" s="56" t="n">
        <f aca="false">'заказ 12-16.01'!I7</f>
        <v>219</v>
      </c>
      <c r="R7" s="56" t="n">
        <v>219</v>
      </c>
      <c r="S7" s="56" t="n">
        <f aca="false">Q7-R7</f>
        <v>0</v>
      </c>
      <c r="T7" s="19" t="n">
        <f aca="false">E7+H7+K7+N7+Q7</f>
        <v>603</v>
      </c>
      <c r="U7" s="17" t="n">
        <f aca="false">D7-G7-J7-M7-P7-S7</f>
        <v>0</v>
      </c>
      <c r="V7" s="21"/>
      <c r="W7" s="22"/>
    </row>
    <row r="8" customFormat="false" ht="22.5" hidden="false" customHeight="true" outlineLevel="0" collapsed="false">
      <c r="A8" s="15" t="n">
        <v>5</v>
      </c>
      <c r="B8" s="16" t="s">
        <v>16</v>
      </c>
      <c r="C8" s="17" t="n">
        <f aca="false">150*5+'29-30.12'!U8</f>
        <v>1050</v>
      </c>
      <c r="D8" s="17" t="n">
        <v>2500</v>
      </c>
      <c r="E8" s="56" t="n">
        <v>0</v>
      </c>
      <c r="F8" s="56" t="n">
        <v>0</v>
      </c>
      <c r="G8" s="56" t="n">
        <f aca="false">E8-F8</f>
        <v>0</v>
      </c>
      <c r="H8" s="56" t="n">
        <f aca="false">'заказ 12-16.01'!C8</f>
        <v>315</v>
      </c>
      <c r="I8" s="56" t="n">
        <v>315</v>
      </c>
      <c r="J8" s="56" t="n">
        <f aca="false">H8-I8</f>
        <v>0</v>
      </c>
      <c r="K8" s="56" t="n">
        <f aca="false">'заказ 12-16.01'!E8</f>
        <v>300</v>
      </c>
      <c r="L8" s="56" t="n">
        <v>300</v>
      </c>
      <c r="M8" s="56" t="n">
        <f aca="false">K8-L8</f>
        <v>0</v>
      </c>
      <c r="N8" s="56" t="n">
        <f aca="false">'заказ 12-16.01'!G8</f>
        <v>187</v>
      </c>
      <c r="O8" s="56" t="n">
        <v>187</v>
      </c>
      <c r="P8" s="56" t="n">
        <f aca="false">N8-O8</f>
        <v>0</v>
      </c>
      <c r="Q8" s="56" t="n">
        <f aca="false">'заказ 12-16.01'!I8</f>
        <v>310</v>
      </c>
      <c r="R8" s="56" t="n">
        <v>248</v>
      </c>
      <c r="S8" s="56" t="n">
        <f aca="false">Q8-R8</f>
        <v>62</v>
      </c>
      <c r="T8" s="19" t="n">
        <f aca="false">E8+H8+K8+N8+Q8</f>
        <v>1112</v>
      </c>
      <c r="U8" s="17" t="n">
        <f aca="false">D8-G8-J8-M8-P8-S8</f>
        <v>2438</v>
      </c>
      <c r="V8" s="21"/>
      <c r="W8" s="22"/>
    </row>
    <row r="9" customFormat="false" ht="21.75" hidden="false" customHeight="true" outlineLevel="0" collapsed="false">
      <c r="A9" s="15" t="n">
        <v>6</v>
      </c>
      <c r="B9" s="16" t="s">
        <v>17</v>
      </c>
      <c r="C9" s="17" t="n">
        <f aca="false">150*5+'29-30.12'!U9</f>
        <v>789</v>
      </c>
      <c r="D9" s="17" t="n">
        <v>361</v>
      </c>
      <c r="E9" s="56" t="n">
        <v>0</v>
      </c>
      <c r="F9" s="56" t="n">
        <v>0</v>
      </c>
      <c r="G9" s="56" t="n">
        <f aca="false">E9-F9</f>
        <v>0</v>
      </c>
      <c r="H9" s="56" t="n">
        <f aca="false">'заказ 12-16.01'!C9</f>
        <v>458</v>
      </c>
      <c r="I9" s="56" t="n">
        <v>339</v>
      </c>
      <c r="J9" s="56" t="n">
        <f aca="false">H9-I9</f>
        <v>119</v>
      </c>
      <c r="K9" s="56" t="n">
        <f aca="false">'заказ 12-16.01'!E9</f>
        <v>442</v>
      </c>
      <c r="L9" s="56" t="n">
        <v>150</v>
      </c>
      <c r="M9" s="56" t="n">
        <f aca="false">K9-L9</f>
        <v>292</v>
      </c>
      <c r="N9" s="56" t="n">
        <f aca="false">'заказ 12-16.01'!G9</f>
        <v>395</v>
      </c>
      <c r="O9" s="56" t="n">
        <v>150</v>
      </c>
      <c r="P9" s="56" t="n">
        <f aca="false">N9-O9</f>
        <v>245</v>
      </c>
      <c r="Q9" s="56" t="n">
        <f aca="false">'заказ 12-16.01'!I9</f>
        <v>335</v>
      </c>
      <c r="R9" s="56" t="n">
        <v>150</v>
      </c>
      <c r="S9" s="56" t="n">
        <f aca="false">Q9-R9</f>
        <v>185</v>
      </c>
      <c r="T9" s="19" t="n">
        <f aca="false">E9+H9+K9+N9+Q9</f>
        <v>1630</v>
      </c>
      <c r="U9" s="17" t="n">
        <f aca="false">D9-G9-J9-M9-P9-S9</f>
        <v>-480</v>
      </c>
      <c r="V9" s="23"/>
      <c r="W9" s="22"/>
    </row>
    <row r="10" customFormat="false" ht="24.75" hidden="false" customHeight="true" outlineLevel="0" collapsed="false">
      <c r="A10" s="15" t="n">
        <v>7</v>
      </c>
      <c r="B10" s="16" t="s">
        <v>18</v>
      </c>
      <c r="C10" s="17" t="n">
        <f aca="false">150*5+'29-30.12'!U10</f>
        <v>750</v>
      </c>
      <c r="D10" s="17" t="n">
        <v>379</v>
      </c>
      <c r="E10" s="56" t="n">
        <v>0</v>
      </c>
      <c r="F10" s="56" t="n">
        <v>0</v>
      </c>
      <c r="G10" s="56" t="n">
        <f aca="false">E10-F10</f>
        <v>0</v>
      </c>
      <c r="H10" s="56" t="n">
        <f aca="false">'заказ 12-16.01'!C10</f>
        <v>219</v>
      </c>
      <c r="I10" s="56" t="n">
        <v>219</v>
      </c>
      <c r="J10" s="56" t="n">
        <f aca="false">H10-I10</f>
        <v>0</v>
      </c>
      <c r="K10" s="56" t="n">
        <f aca="false">'заказ 12-16.01'!E10</f>
        <v>219</v>
      </c>
      <c r="L10" s="56" t="n">
        <v>219</v>
      </c>
      <c r="M10" s="56" t="n">
        <f aca="false">K10-L10</f>
        <v>0</v>
      </c>
      <c r="N10" s="56" t="n">
        <f aca="false">'заказ 12-16.01'!G10</f>
        <v>184</v>
      </c>
      <c r="O10" s="56" t="n">
        <v>162</v>
      </c>
      <c r="P10" s="56" t="n">
        <f aca="false">N10-O10</f>
        <v>22</v>
      </c>
      <c r="Q10" s="56" t="n">
        <f aca="false">'заказ 12-16.01'!I10</f>
        <v>178</v>
      </c>
      <c r="R10" s="56" t="n">
        <v>150</v>
      </c>
      <c r="S10" s="56" t="n">
        <f aca="false">Q10-R10</f>
        <v>28</v>
      </c>
      <c r="T10" s="19" t="n">
        <f aca="false">E10+H10+K10+N10+Q10</f>
        <v>800</v>
      </c>
      <c r="U10" s="17" t="n">
        <f aca="false">D10-G10-J10-M10-P10-S10</f>
        <v>329</v>
      </c>
      <c r="V10" s="21"/>
      <c r="W10" s="22"/>
    </row>
    <row r="11" customFormat="false" ht="23.25" hidden="false" customHeight="true" outlineLevel="0" collapsed="false">
      <c r="A11" s="15" t="n">
        <v>8</v>
      </c>
      <c r="B11" s="16" t="s">
        <v>19</v>
      </c>
      <c r="C11" s="17" t="n">
        <f aca="false">150*5+'29-30.12'!U11</f>
        <v>854</v>
      </c>
      <c r="D11" s="17" t="n">
        <v>-94</v>
      </c>
      <c r="E11" s="56" t="n">
        <v>0</v>
      </c>
      <c r="F11" s="56" t="n">
        <v>0</v>
      </c>
      <c r="G11" s="56" t="n">
        <f aca="false">E11-F11</f>
        <v>0</v>
      </c>
      <c r="H11" s="56" t="n">
        <f aca="false">'заказ 12-16.01'!C11</f>
        <v>300</v>
      </c>
      <c r="I11" s="56" t="n">
        <v>300</v>
      </c>
      <c r="J11" s="56" t="n">
        <f aca="false">H11-I11</f>
        <v>0</v>
      </c>
      <c r="K11" s="56" t="n">
        <f aca="false">'заказ 12-16.01'!E11</f>
        <v>300</v>
      </c>
      <c r="L11" s="56" t="n">
        <v>254</v>
      </c>
      <c r="M11" s="56" t="n">
        <f aca="false">K11-L11</f>
        <v>46</v>
      </c>
      <c r="N11" s="56" t="n">
        <f aca="false">'заказ 12-16.01'!G11</f>
        <v>300</v>
      </c>
      <c r="O11" s="56" t="n">
        <v>150</v>
      </c>
      <c r="P11" s="56" t="n">
        <f aca="false">N11-O11</f>
        <v>150</v>
      </c>
      <c r="Q11" s="56" t="n">
        <f aca="false">'заказ 12-16.01'!I11</f>
        <v>300</v>
      </c>
      <c r="R11" s="56" t="n">
        <v>150</v>
      </c>
      <c r="S11" s="56" t="n">
        <f aca="false">Q11-R11</f>
        <v>150</v>
      </c>
      <c r="T11" s="19" t="n">
        <f aca="false">E11+H11+K11+N11+Q11</f>
        <v>1200</v>
      </c>
      <c r="U11" s="17" t="n">
        <f aca="false">D11-G11-J11-M11-P11-S11</f>
        <v>-440</v>
      </c>
      <c r="V11" s="21"/>
      <c r="W11" s="22"/>
    </row>
    <row r="12" customFormat="false" ht="23.25" hidden="false" customHeight="true" outlineLevel="0" collapsed="false">
      <c r="A12" s="15" t="n">
        <v>9</v>
      </c>
      <c r="B12" s="16" t="s">
        <v>20</v>
      </c>
      <c r="C12" s="17" t="n">
        <f aca="false">150*5+'29-30.12'!U12</f>
        <v>1556</v>
      </c>
      <c r="D12" s="17" t="n">
        <v>0</v>
      </c>
      <c r="E12" s="56" t="n">
        <v>0</v>
      </c>
      <c r="F12" s="56" t="n">
        <v>0</v>
      </c>
      <c r="G12" s="56" t="n">
        <f aca="false">E12-F12</f>
        <v>0</v>
      </c>
      <c r="H12" s="56" t="n">
        <f aca="false">'заказ 12-16.01'!C12</f>
        <v>137</v>
      </c>
      <c r="I12" s="56" t="n">
        <v>137</v>
      </c>
      <c r="J12" s="56" t="n">
        <f aca="false">H12-I12</f>
        <v>0</v>
      </c>
      <c r="K12" s="56" t="n">
        <f aca="false">'заказ 12-16.01'!E12</f>
        <v>113</v>
      </c>
      <c r="L12" s="56" t="n">
        <v>113</v>
      </c>
      <c r="M12" s="56" t="n">
        <f aca="false">K12-L12</f>
        <v>0</v>
      </c>
      <c r="N12" s="56" t="n">
        <f aca="false">'заказ 12-16.01'!G12</f>
        <v>137</v>
      </c>
      <c r="O12" s="56" t="n">
        <v>137</v>
      </c>
      <c r="P12" s="56" t="n">
        <f aca="false">N12-O12</f>
        <v>0</v>
      </c>
      <c r="Q12" s="56" t="n">
        <f aca="false">'заказ 12-16.01'!I12</f>
        <v>0</v>
      </c>
      <c r="R12" s="56" t="n">
        <v>0</v>
      </c>
      <c r="S12" s="56" t="n">
        <f aca="false">Q12-R12</f>
        <v>0</v>
      </c>
      <c r="T12" s="19" t="n">
        <f aca="false">E12+H12+K12+N12+Q12</f>
        <v>387</v>
      </c>
      <c r="U12" s="17" t="n">
        <f aca="false">D12-G12-J12-M12-P12-S12</f>
        <v>0</v>
      </c>
      <c r="V12" s="23"/>
      <c r="W12" s="22"/>
    </row>
    <row r="13" customFormat="false" ht="23.25" hidden="false" customHeight="true" outlineLevel="0" collapsed="false">
      <c r="A13" s="15" t="n">
        <v>10</v>
      </c>
      <c r="B13" s="16" t="s">
        <v>21</v>
      </c>
      <c r="C13" s="17" t="n">
        <f aca="false">150*5+'29-30.12'!U13</f>
        <v>750</v>
      </c>
      <c r="D13" s="17" t="n">
        <v>1</v>
      </c>
      <c r="E13" s="56" t="n">
        <v>0</v>
      </c>
      <c r="F13" s="56" t="n">
        <v>0</v>
      </c>
      <c r="G13" s="56" t="n">
        <f aca="false">E13-F13</f>
        <v>0</v>
      </c>
      <c r="H13" s="56" t="n">
        <f aca="false">'заказ 12-16.01'!C13</f>
        <v>219</v>
      </c>
      <c r="I13" s="56" t="n">
        <v>219</v>
      </c>
      <c r="J13" s="56" t="n">
        <f aca="false">H13-I13</f>
        <v>0</v>
      </c>
      <c r="K13" s="56" t="n">
        <f aca="false">'заказ 12-16.01'!E13</f>
        <v>310</v>
      </c>
      <c r="L13" s="56" t="n">
        <v>231</v>
      </c>
      <c r="M13" s="56" t="n">
        <f aca="false">K13-L13</f>
        <v>79</v>
      </c>
      <c r="N13" s="56" t="n">
        <f aca="false">'заказ 12-16.01'!G13</f>
        <v>219</v>
      </c>
      <c r="O13" s="56" t="n">
        <v>150</v>
      </c>
      <c r="P13" s="56" t="n">
        <f aca="false">N13-O13</f>
        <v>69</v>
      </c>
      <c r="Q13" s="56" t="n">
        <f aca="false">'заказ 12-16.01'!I13</f>
        <v>348</v>
      </c>
      <c r="R13" s="56" t="n">
        <v>150</v>
      </c>
      <c r="S13" s="56" t="n">
        <f aca="false">Q13-R13</f>
        <v>198</v>
      </c>
      <c r="T13" s="19" t="n">
        <f aca="false">E13+H13+K13+N13+Q13</f>
        <v>1096</v>
      </c>
      <c r="U13" s="17" t="n">
        <f aca="false">D13-G13-J13-M13-P13-S13</f>
        <v>-345</v>
      </c>
      <c r="V13" s="21"/>
      <c r="W13" s="22"/>
    </row>
    <row r="14" customFormat="false" ht="23.25" hidden="false" customHeight="true" outlineLevel="0" collapsed="false">
      <c r="A14" s="15" t="n">
        <v>11</v>
      </c>
      <c r="B14" s="16" t="s">
        <v>22</v>
      </c>
      <c r="C14" s="17" t="n">
        <f aca="false">150*4+'29-30.12'!U14</f>
        <v>900</v>
      </c>
      <c r="D14" s="17" t="n">
        <v>1134</v>
      </c>
      <c r="E14" s="56" t="n">
        <v>0</v>
      </c>
      <c r="F14" s="56" t="n">
        <v>0</v>
      </c>
      <c r="G14" s="56" t="n">
        <f aca="false">E14-F14</f>
        <v>0</v>
      </c>
      <c r="H14" s="56" t="n">
        <f aca="false">'заказ 12-16.01'!C14</f>
        <v>224</v>
      </c>
      <c r="I14" s="56" t="n">
        <v>224</v>
      </c>
      <c r="J14" s="56" t="n">
        <f aca="false">H14-I14</f>
        <v>0</v>
      </c>
      <c r="K14" s="56" t="n">
        <f aca="false">'заказ 12-16.01'!E14</f>
        <v>0</v>
      </c>
      <c r="L14" s="56" t="n">
        <v>0</v>
      </c>
      <c r="M14" s="56" t="n">
        <f aca="false">K14-L14</f>
        <v>0</v>
      </c>
      <c r="N14" s="56" t="n">
        <f aca="false">'заказ 12-16.01'!G14</f>
        <v>245</v>
      </c>
      <c r="O14" s="56" t="n">
        <v>245</v>
      </c>
      <c r="P14" s="56" t="n">
        <f aca="false">N14-O14</f>
        <v>0</v>
      </c>
      <c r="Q14" s="56" t="n">
        <f aca="false">'заказ 12-16.01'!I14</f>
        <v>0</v>
      </c>
      <c r="R14" s="56" t="n">
        <v>0</v>
      </c>
      <c r="S14" s="56" t="n">
        <f aca="false">Q14-R14</f>
        <v>0</v>
      </c>
      <c r="T14" s="19" t="n">
        <f aca="false">E14+H14+K14+N14+Q14</f>
        <v>469</v>
      </c>
      <c r="U14" s="17" t="n">
        <f aca="false">D14-G14-J14-M14-P14-S14</f>
        <v>1134</v>
      </c>
      <c r="V14" s="6"/>
    </row>
    <row r="15" customFormat="false" ht="21" hidden="false" customHeight="true" outlineLevel="0" collapsed="false">
      <c r="A15" s="15" t="n">
        <v>12</v>
      </c>
      <c r="B15" s="16" t="s">
        <v>23</v>
      </c>
      <c r="C15" s="17" t="n">
        <f aca="false">100*5+'29-30.12'!U15</f>
        <v>500</v>
      </c>
      <c r="D15" s="17" t="n">
        <v>-100</v>
      </c>
      <c r="E15" s="56" t="n">
        <v>0</v>
      </c>
      <c r="F15" s="56" t="n">
        <v>0</v>
      </c>
      <c r="G15" s="56" t="n">
        <f aca="false">E15-F15</f>
        <v>0</v>
      </c>
      <c r="H15" s="56" t="n">
        <f aca="false">'заказ 12-16.01'!C15</f>
        <v>300</v>
      </c>
      <c r="I15" s="56" t="n">
        <v>200</v>
      </c>
      <c r="J15" s="56" t="n">
        <f aca="false">H15-I15</f>
        <v>100</v>
      </c>
      <c r="K15" s="56" t="n">
        <f aca="false">'заказ 12-16.01'!E15</f>
        <v>300</v>
      </c>
      <c r="L15" s="56" t="n">
        <v>100</v>
      </c>
      <c r="M15" s="56" t="n">
        <f aca="false">K15-L15</f>
        <v>200</v>
      </c>
      <c r="N15" s="56" t="n">
        <f aca="false">'заказ 12-16.01'!G15</f>
        <v>300</v>
      </c>
      <c r="O15" s="56" t="n">
        <v>100</v>
      </c>
      <c r="P15" s="56" t="n">
        <f aca="false">N15-O15</f>
        <v>200</v>
      </c>
      <c r="Q15" s="56" t="n">
        <f aca="false">'заказ 12-16.01'!I15</f>
        <v>300</v>
      </c>
      <c r="R15" s="56" t="n">
        <v>100</v>
      </c>
      <c r="S15" s="56" t="n">
        <f aca="false">Q15-R15</f>
        <v>200</v>
      </c>
      <c r="T15" s="19" t="n">
        <f aca="false">E15+H15+K15+N15+Q15</f>
        <v>1200</v>
      </c>
      <c r="U15" s="17" t="n">
        <f aca="false">D15-G15-J15-M15-P15-S15</f>
        <v>-800</v>
      </c>
      <c r="V15" s="6"/>
    </row>
    <row r="16" customFormat="false" ht="21" hidden="false" customHeight="true" outlineLevel="0" collapsed="false">
      <c r="A16" s="15"/>
      <c r="B16" s="16" t="s">
        <v>24</v>
      </c>
      <c r="C16" s="17" t="n">
        <f aca="false">450*5</f>
        <v>2250</v>
      </c>
      <c r="D16" s="17"/>
      <c r="E16" s="56" t="n">
        <v>0</v>
      </c>
      <c r="F16" s="56" t="n">
        <v>0</v>
      </c>
      <c r="G16" s="56" t="n">
        <f aca="false">E16-F16</f>
        <v>0</v>
      </c>
      <c r="H16" s="56" t="n">
        <v>450</v>
      </c>
      <c r="I16" s="56" t="n">
        <v>450</v>
      </c>
      <c r="J16" s="56" t="n">
        <f aca="false">H16-I16</f>
        <v>0</v>
      </c>
      <c r="K16" s="56" t="n">
        <v>450</v>
      </c>
      <c r="L16" s="56" t="n">
        <v>450</v>
      </c>
      <c r="M16" s="56" t="n">
        <f aca="false">K16-L16</f>
        <v>0</v>
      </c>
      <c r="N16" s="56" t="n">
        <v>450</v>
      </c>
      <c r="O16" s="56" t="n">
        <v>450</v>
      </c>
      <c r="P16" s="56" t="n">
        <f aca="false">N16-O16</f>
        <v>0</v>
      </c>
      <c r="Q16" s="56" t="n">
        <v>450</v>
      </c>
      <c r="R16" s="56" t="n">
        <v>450</v>
      </c>
      <c r="S16" s="56" t="n">
        <f aca="false">Q16-R16</f>
        <v>0</v>
      </c>
      <c r="T16" s="19" t="n">
        <f aca="false">E16+H16+K16+N16+Q16</f>
        <v>1800</v>
      </c>
      <c r="U16" s="17" t="n">
        <f aca="false">D16-G16-J16-M16-P16-S16</f>
        <v>0</v>
      </c>
      <c r="V16" s="6"/>
    </row>
    <row r="17" customFormat="false" ht="25.5" hidden="false" customHeight="true" outlineLevel="0" collapsed="false">
      <c r="A17" s="15"/>
      <c r="B17" s="24" t="s">
        <v>25</v>
      </c>
      <c r="C17" s="17" t="n">
        <f aca="false">SUM(C4:C15)</f>
        <v>13840</v>
      </c>
      <c r="D17" s="17" t="n">
        <f aca="false">SUM(D4:D15)</f>
        <v>6727</v>
      </c>
      <c r="E17" s="25" t="n">
        <f aca="false">SUM(E4:E16)</f>
        <v>0</v>
      </c>
      <c r="F17" s="25" t="n">
        <f aca="false">SUM(F4:F16)</f>
        <v>0</v>
      </c>
      <c r="G17" s="25" t="n">
        <f aca="false">SUM(G4:G16)</f>
        <v>0</v>
      </c>
      <c r="H17" s="25" t="n">
        <f aca="false">SUM(H4:H16)</f>
        <v>3959</v>
      </c>
      <c r="I17" s="25" t="n">
        <f aca="false">SUM(I4:I16)</f>
        <v>3461</v>
      </c>
      <c r="J17" s="25" t="n">
        <f aca="false">SUM(J4:J16)</f>
        <v>498</v>
      </c>
      <c r="K17" s="25" t="n">
        <f aca="false">SUM(K4:K16)</f>
        <v>3266</v>
      </c>
      <c r="L17" s="25" t="n">
        <f aca="false">SUM(L4:L16)</f>
        <v>2220</v>
      </c>
      <c r="M17" s="25" t="n">
        <f aca="false">SUM(M4:M16)</f>
        <v>1046</v>
      </c>
      <c r="N17" s="25" t="n">
        <f aca="false">SUM(N4:N16)</f>
        <v>3439</v>
      </c>
      <c r="O17" s="25" t="n">
        <f aca="false">SUM(O4:O16)</f>
        <v>2324</v>
      </c>
      <c r="P17" s="25" t="n">
        <f aca="false">SUM(P4:P16)</f>
        <v>1115</v>
      </c>
      <c r="Q17" s="25" t="n">
        <f aca="false">SUM(Q4:Q16)</f>
        <v>3168</v>
      </c>
      <c r="R17" s="25" t="n">
        <f aca="false">SUM(R4:R16)</f>
        <v>1916</v>
      </c>
      <c r="S17" s="25" t="n">
        <f aca="false">SUM(S4:S16)</f>
        <v>1252</v>
      </c>
      <c r="T17" s="25" t="n">
        <f aca="false">SUM(T4:T16)</f>
        <v>13832</v>
      </c>
      <c r="U17" s="25" t="n">
        <f aca="false">SUM(U4:U16)</f>
        <v>2816</v>
      </c>
      <c r="V17" s="6"/>
    </row>
    <row r="18" customFormat="false" ht="16.5" hidden="false" customHeight="false" outlineLevel="0" collapsed="false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6"/>
      <c r="V18" s="6"/>
    </row>
    <row r="19" customFormat="false" ht="16.5" hidden="false" customHeight="false" outlineLevel="0" collapsed="false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6"/>
      <c r="V19" s="6"/>
    </row>
    <row r="20" s="1" customFormat="true" ht="31.5" hidden="false" customHeight="true" outlineLevel="0" collapsed="false">
      <c r="B20" s="7"/>
      <c r="C20" s="7" t="s">
        <v>26</v>
      </c>
      <c r="D20" s="7" t="s">
        <v>9</v>
      </c>
      <c r="E20" s="11" t="s">
        <v>27</v>
      </c>
      <c r="F20" s="7" t="s">
        <v>28</v>
      </c>
      <c r="G20" s="26"/>
      <c r="H20" s="26"/>
      <c r="I20" s="30"/>
      <c r="J20" s="26"/>
      <c r="K20" s="31"/>
      <c r="L20" s="31"/>
      <c r="M20" s="31"/>
      <c r="N20" s="31"/>
      <c r="O20" s="30"/>
      <c r="P20" s="26"/>
      <c r="Q20" s="26" t="s">
        <v>30</v>
      </c>
      <c r="R20" s="32" t="n">
        <f aca="false">F30+U17</f>
        <v>5625</v>
      </c>
    </row>
    <row r="21" s="1" customFormat="true" ht="16.5" hidden="false" customHeight="false" outlineLevel="0" collapsed="false">
      <c r="B21" s="33" t="s">
        <v>31</v>
      </c>
      <c r="C21" s="25" t="n">
        <v>730</v>
      </c>
      <c r="D21" s="25"/>
      <c r="E21" s="25"/>
      <c r="F21" s="25"/>
      <c r="G21" s="26"/>
      <c r="H21" s="26"/>
      <c r="I21" s="26"/>
      <c r="J21" s="26"/>
      <c r="K21" s="26"/>
      <c r="L21" s="26"/>
      <c r="M21" s="26"/>
      <c r="N21" s="35"/>
      <c r="O21" s="35"/>
      <c r="P21" s="35"/>
      <c r="Q21" s="26"/>
      <c r="R21" s="6"/>
    </row>
    <row r="22" s="1" customFormat="true" ht="17.25" hidden="false" customHeight="true" outlineLevel="0" collapsed="false">
      <c r="B22" s="33"/>
      <c r="C22" s="25" t="n">
        <v>12000</v>
      </c>
      <c r="D22" s="25"/>
      <c r="E22" s="25"/>
      <c r="F22" s="25" t="n">
        <f aca="false">C21+C22</f>
        <v>12730</v>
      </c>
      <c r="G22" s="26"/>
      <c r="H22" s="26"/>
      <c r="I22" s="26"/>
      <c r="J22" s="27"/>
      <c r="K22" s="31"/>
      <c r="L22" s="31"/>
      <c r="M22" s="31"/>
      <c r="N22" s="35"/>
      <c r="O22" s="35"/>
      <c r="P22" s="35"/>
      <c r="Q22" s="37"/>
      <c r="R22" s="32"/>
    </row>
    <row r="23" s="1" customFormat="true" ht="17.25" hidden="false" customHeight="true" outlineLevel="0" collapsed="false">
      <c r="B23" s="33" t="s">
        <v>39</v>
      </c>
      <c r="C23" s="25"/>
      <c r="D23" s="25"/>
      <c r="E23" s="25" t="n">
        <f aca="false">F17</f>
        <v>0</v>
      </c>
      <c r="F23" s="25" t="n">
        <f aca="false">F22-E23</f>
        <v>12730</v>
      </c>
      <c r="G23" s="26"/>
      <c r="H23" s="26"/>
      <c r="I23" s="26"/>
      <c r="J23" s="26"/>
      <c r="K23" s="31"/>
      <c r="L23" s="31"/>
      <c r="M23" s="31"/>
      <c r="N23" s="39"/>
      <c r="O23" s="39"/>
      <c r="P23" s="40"/>
      <c r="Q23" s="37"/>
      <c r="R23" s="32"/>
    </row>
    <row r="24" s="1" customFormat="true" ht="17.25" hidden="false" customHeight="true" outlineLevel="0" collapsed="false">
      <c r="B24" s="33" t="s">
        <v>40</v>
      </c>
      <c r="C24" s="25"/>
      <c r="D24" s="25"/>
      <c r="E24" s="25" t="n">
        <f aca="false">I17</f>
        <v>3461</v>
      </c>
      <c r="F24" s="25" t="n">
        <f aca="false">F23-E24</f>
        <v>9269</v>
      </c>
      <c r="G24" s="26"/>
      <c r="H24" s="26"/>
      <c r="I24" s="26"/>
      <c r="J24" s="26"/>
      <c r="K24" s="31"/>
      <c r="L24" s="31"/>
      <c r="M24" s="31"/>
      <c r="N24" s="35" t="s">
        <v>35</v>
      </c>
      <c r="O24" s="35"/>
      <c r="P24" s="35"/>
      <c r="Q24" s="37"/>
      <c r="R24" s="32" t="n">
        <f aca="false">U17</f>
        <v>2816</v>
      </c>
    </row>
    <row r="25" s="1" customFormat="true" ht="17.25" hidden="false" customHeight="true" outlineLevel="0" collapsed="false">
      <c r="B25" s="33" t="s">
        <v>41</v>
      </c>
      <c r="C25" s="25"/>
      <c r="D25" s="25"/>
      <c r="E25" s="25" t="n">
        <f aca="false">L17</f>
        <v>2220</v>
      </c>
      <c r="F25" s="25" t="n">
        <f aca="false">F24-E25</f>
        <v>7049</v>
      </c>
      <c r="G25" s="26"/>
      <c r="H25" s="26"/>
      <c r="I25" s="26"/>
      <c r="J25" s="26"/>
      <c r="K25" s="31"/>
      <c r="L25" s="31"/>
      <c r="M25" s="31"/>
      <c r="N25" s="39"/>
      <c r="O25" s="39"/>
      <c r="P25" s="40"/>
      <c r="Q25" s="37"/>
      <c r="R25" s="32"/>
    </row>
    <row r="26" s="1" customFormat="true" ht="17.25" hidden="false" customHeight="true" outlineLevel="0" collapsed="false">
      <c r="B26" s="33" t="s">
        <v>42</v>
      </c>
      <c r="C26" s="25"/>
      <c r="D26" s="25"/>
      <c r="E26" s="25" t="n">
        <f aca="false">O17</f>
        <v>2324</v>
      </c>
      <c r="F26" s="25" t="n">
        <f aca="false">F25-E26</f>
        <v>4725</v>
      </c>
      <c r="G26" s="26"/>
      <c r="H26" s="26"/>
      <c r="I26" s="26"/>
      <c r="J26" s="26"/>
      <c r="K26" s="31"/>
      <c r="L26" s="31"/>
      <c r="M26" s="31"/>
      <c r="N26" s="39"/>
      <c r="O26" s="39"/>
      <c r="P26" s="40"/>
      <c r="Q26" s="37"/>
      <c r="R26" s="32"/>
    </row>
    <row r="27" s="1" customFormat="true" ht="17.25" hidden="false" customHeight="true" outlineLevel="0" collapsed="false">
      <c r="B27" s="33" t="s">
        <v>43</v>
      </c>
      <c r="C27" s="25"/>
      <c r="D27" s="25"/>
      <c r="E27" s="25" t="n">
        <f aca="false">R17</f>
        <v>1916</v>
      </c>
      <c r="F27" s="25" t="n">
        <f aca="false">F26-E27</f>
        <v>2809</v>
      </c>
      <c r="G27" s="26"/>
      <c r="H27" s="26"/>
      <c r="I27" s="26"/>
      <c r="J27" s="26"/>
      <c r="K27" s="31"/>
      <c r="L27" s="31"/>
      <c r="M27" s="31"/>
      <c r="N27" s="39"/>
      <c r="O27" s="39"/>
      <c r="P27" s="40"/>
      <c r="Q27" s="37"/>
      <c r="R27" s="32"/>
    </row>
    <row r="28" s="1" customFormat="true" ht="16.5" hidden="false" customHeight="true" outlineLevel="0" collapsed="false">
      <c r="B28" s="42" t="s">
        <v>36</v>
      </c>
      <c r="C28" s="25"/>
      <c r="D28" s="25"/>
      <c r="E28" s="43" t="n">
        <f aca="false">E22+E23+E24+E25+E26+E27</f>
        <v>9921</v>
      </c>
      <c r="F28" s="43"/>
      <c r="G28" s="26"/>
      <c r="H28" s="26"/>
      <c r="I28" s="26"/>
      <c r="J28" s="26"/>
      <c r="K28" s="44"/>
      <c r="L28" s="44"/>
      <c r="M28" s="44"/>
      <c r="N28" s="45"/>
      <c r="O28" s="46"/>
      <c r="P28" s="47"/>
      <c r="Q28" s="26"/>
      <c r="R28" s="6"/>
    </row>
    <row r="29" s="1" customFormat="true" ht="16.5" hidden="false" customHeight="true" outlineLevel="0" collapsed="false">
      <c r="B29" s="48" t="s">
        <v>37</v>
      </c>
      <c r="C29" s="49"/>
      <c r="D29" s="49"/>
      <c r="E29" s="50"/>
      <c r="F29" s="50"/>
      <c r="G29" s="26"/>
      <c r="H29" s="26"/>
      <c r="I29" s="26"/>
      <c r="J29" s="26"/>
      <c r="K29" s="44"/>
      <c r="L29" s="44"/>
      <c r="M29" s="44"/>
      <c r="N29" s="44"/>
      <c r="O29" s="27"/>
      <c r="P29" s="26"/>
      <c r="Q29" s="26"/>
      <c r="R29" s="6"/>
    </row>
    <row r="30" s="1" customFormat="true" ht="16.5" hidden="false" customHeight="true" outlineLevel="0" collapsed="false">
      <c r="B30" s="26"/>
      <c r="C30" s="26"/>
      <c r="D30" s="26"/>
      <c r="E30" s="27" t="n">
        <f aca="false">E28-E29</f>
        <v>9921</v>
      </c>
      <c r="F30" s="27" t="n">
        <f aca="false">F27+E29</f>
        <v>2809</v>
      </c>
      <c r="G30" s="26"/>
      <c r="H30" s="26"/>
      <c r="I30" s="26"/>
      <c r="J30" s="26"/>
      <c r="K30" s="44"/>
      <c r="L30" s="44"/>
      <c r="M30" s="44"/>
      <c r="N30" s="44"/>
      <c r="O30" s="27"/>
      <c r="P30" s="26"/>
      <c r="Q30" s="26"/>
      <c r="R30" s="6"/>
    </row>
    <row r="31" s="1" customFormat="true" ht="16.5" hidden="false" customHeight="true" outlineLevel="0" collapsed="false">
      <c r="B31" s="26"/>
      <c r="C31" s="26"/>
      <c r="D31" s="26"/>
      <c r="E31" s="26"/>
      <c r="F31" s="27"/>
      <c r="G31" s="26"/>
      <c r="H31" s="26"/>
      <c r="I31" s="26"/>
      <c r="J31" s="26"/>
      <c r="K31" s="44"/>
      <c r="L31" s="44"/>
      <c r="M31" s="44"/>
      <c r="N31" s="44"/>
      <c r="O31" s="27"/>
      <c r="P31" s="26"/>
      <c r="Q31" s="26"/>
      <c r="R31" s="6"/>
    </row>
    <row r="32" s="1" customFormat="true" ht="16.5" hidden="false" customHeight="true" outlineLevel="0" collapsed="false">
      <c r="B32" s="26"/>
      <c r="C32" s="27"/>
      <c r="D32" s="27"/>
      <c r="E32" s="27"/>
      <c r="F32" s="27"/>
      <c r="G32" s="26"/>
      <c r="H32" s="26"/>
      <c r="I32" s="26"/>
      <c r="J32" s="26"/>
      <c r="K32" s="44"/>
      <c r="L32" s="44"/>
      <c r="M32" s="44"/>
      <c r="N32" s="44"/>
      <c r="O32" s="27"/>
      <c r="P32" s="26"/>
      <c r="Q32" s="26"/>
      <c r="R32" s="6"/>
    </row>
    <row r="33" s="1" customFormat="true" ht="16.5" hidden="false" customHeight="true" outlineLevel="0" collapsed="false">
      <c r="B33" s="51"/>
      <c r="C33" s="27"/>
      <c r="D33" s="27"/>
      <c r="E33" s="27"/>
      <c r="F33" s="26"/>
      <c r="G33" s="26"/>
      <c r="H33" s="26"/>
      <c r="I33" s="52"/>
      <c r="J33" s="26"/>
      <c r="K33" s="44"/>
      <c r="L33" s="44"/>
      <c r="M33" s="44"/>
      <c r="N33" s="44"/>
      <c r="O33" s="27"/>
      <c r="P33" s="26"/>
      <c r="Q33" s="26"/>
      <c r="R33" s="6"/>
    </row>
    <row r="34" s="1" customFormat="true" ht="25.5" hidden="false" customHeight="true" outlineLevel="0" collapsed="false">
      <c r="B34" s="26"/>
      <c r="C34" s="26"/>
      <c r="D34" s="26"/>
      <c r="E34" s="26"/>
      <c r="F34" s="26"/>
      <c r="G34" s="26"/>
      <c r="H34" s="26"/>
      <c r="I34" s="26"/>
      <c r="J34" s="26"/>
      <c r="K34" s="44"/>
      <c r="L34" s="44"/>
      <c r="M34" s="44"/>
      <c r="N34" s="44"/>
      <c r="O34" s="27"/>
      <c r="P34" s="26"/>
      <c r="Q34" s="26"/>
      <c r="R34" s="6"/>
    </row>
    <row r="35" s="1" customFormat="true" ht="27" hidden="false" customHeight="true" outlineLevel="0" collapsed="false">
      <c r="B35" s="26"/>
      <c r="C35" s="26"/>
      <c r="D35" s="26"/>
      <c r="E35" s="26"/>
      <c r="F35" s="26"/>
      <c r="G35" s="26"/>
      <c r="H35" s="26"/>
      <c r="I35" s="26"/>
      <c r="J35" s="26"/>
      <c r="K35" s="44"/>
      <c r="L35" s="44"/>
      <c r="M35" s="44"/>
      <c r="N35" s="44"/>
      <c r="O35" s="27"/>
      <c r="P35" s="26"/>
      <c r="Q35" s="26"/>
      <c r="R35" s="6"/>
    </row>
    <row r="36" s="1" customFormat="true" ht="16.5" hidden="false" customHeight="false" outlineLevel="0" collapsed="false">
      <c r="B36" s="30"/>
      <c r="C36" s="53"/>
      <c r="D36" s="53"/>
      <c r="E36" s="26"/>
      <c r="F36" s="26"/>
      <c r="G36" s="26"/>
      <c r="H36" s="26"/>
      <c r="I36" s="26"/>
      <c r="J36" s="26"/>
      <c r="K36" s="44"/>
      <c r="L36" s="44"/>
      <c r="M36" s="44"/>
      <c r="N36" s="44"/>
      <c r="O36" s="27"/>
      <c r="P36" s="26"/>
      <c r="Q36" s="26"/>
      <c r="R36" s="6"/>
    </row>
    <row r="39" customFormat="false" ht="16.5" hidden="false" customHeight="false" outlineLevel="0" collapsed="false">
      <c r="B39" s="55"/>
    </row>
  </sheetData>
  <mergeCells count="9">
    <mergeCell ref="B1:U1"/>
    <mergeCell ref="E2:G2"/>
    <mergeCell ref="H2:J2"/>
    <mergeCell ref="K2:M2"/>
    <mergeCell ref="N2:P2"/>
    <mergeCell ref="Q2:S2"/>
    <mergeCell ref="N21:P21"/>
    <mergeCell ref="N22:P22"/>
    <mergeCell ref="N24:P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9" activeCellId="0" sqref="G9"/>
    </sheetView>
  </sheetViews>
  <sheetFormatPr defaultColWidth="9.14453125" defaultRowHeight="12.75" zeroHeight="false" outlineLevelRow="0" outlineLevelCol="0"/>
  <cols>
    <col collapsed="false" customWidth="true" hidden="false" outlineLevel="0" max="1" min="1" style="57" width="15.86"/>
    <col collapsed="false" customWidth="true" hidden="false" outlineLevel="0" max="2" min="2" style="57" width="27.15"/>
    <col collapsed="false" customWidth="true" hidden="false" outlineLevel="0" max="3" min="3" style="58" width="8.86"/>
    <col collapsed="false" customWidth="true" hidden="false" outlineLevel="0" max="4" min="4" style="57" width="25.57"/>
    <col collapsed="false" customWidth="true" hidden="false" outlineLevel="0" max="5" min="5" style="58" width="8.86"/>
    <col collapsed="false" customWidth="true" hidden="false" outlineLevel="0" max="6" min="6" style="57" width="26.71"/>
    <col collapsed="false" customWidth="true" hidden="false" outlineLevel="0" max="7" min="7" style="58" width="9"/>
    <col collapsed="false" customWidth="true" hidden="false" outlineLevel="0" max="8" min="8" style="57" width="25.57"/>
    <col collapsed="false" customWidth="true" hidden="false" outlineLevel="0" max="9" min="9" style="58" width="9"/>
    <col collapsed="false" customWidth="true" hidden="false" outlineLevel="0" max="10" min="10" style="58" width="48.29"/>
    <col collapsed="false" customWidth="false" hidden="false" outlineLevel="0" max="16384" min="11" style="58" width="9.14"/>
  </cols>
  <sheetData>
    <row r="1" customFormat="false" ht="12.75" hidden="false" customHeight="false" outlineLevel="0" collapsed="false">
      <c r="A1" s="59"/>
      <c r="B1" s="59"/>
      <c r="C1" s="60"/>
      <c r="D1" s="59"/>
      <c r="E1" s="60"/>
      <c r="F1" s="59"/>
      <c r="G1" s="60"/>
      <c r="H1" s="59"/>
      <c r="I1" s="60"/>
    </row>
    <row r="2" customFormat="false" ht="12.75" hidden="false" customHeight="false" outlineLevel="0" collapsed="false">
      <c r="A2" s="61"/>
      <c r="B2" s="61"/>
      <c r="C2" s="62"/>
      <c r="D2" s="61"/>
      <c r="E2" s="62"/>
      <c r="F2" s="61"/>
      <c r="G2" s="62"/>
      <c r="H2" s="61"/>
      <c r="I2" s="62"/>
    </row>
    <row r="3" customFormat="false" ht="19.5" hidden="false" customHeight="true" outlineLevel="0" collapsed="false">
      <c r="A3" s="63"/>
      <c r="B3" s="64" t="s">
        <v>44</v>
      </c>
      <c r="C3" s="65"/>
      <c r="D3" s="64" t="s">
        <v>45</v>
      </c>
      <c r="E3" s="65"/>
      <c r="F3" s="64" t="s">
        <v>46</v>
      </c>
      <c r="G3" s="65"/>
      <c r="H3" s="64" t="s">
        <v>47</v>
      </c>
      <c r="I3" s="65"/>
    </row>
    <row r="4" customFormat="false" ht="33.75" hidden="false" customHeight="true" outlineLevel="0" collapsed="false">
      <c r="A4" s="66" t="s">
        <v>12</v>
      </c>
      <c r="B4" s="67" t="s">
        <v>48</v>
      </c>
      <c r="C4" s="67" t="n">
        <v>137</v>
      </c>
      <c r="D4" s="67" t="s">
        <v>49</v>
      </c>
      <c r="E4" s="68" t="n">
        <v>149</v>
      </c>
      <c r="F4" s="67" t="s">
        <v>50</v>
      </c>
      <c r="G4" s="68" t="n">
        <v>154</v>
      </c>
      <c r="H4" s="67" t="s">
        <v>51</v>
      </c>
      <c r="I4" s="68" t="n">
        <v>149</v>
      </c>
    </row>
    <row r="5" customFormat="false" ht="52.5" hidden="false" customHeight="true" outlineLevel="0" collapsed="false">
      <c r="A5" s="66" t="s">
        <v>13</v>
      </c>
      <c r="B5" s="69" t="s">
        <v>52</v>
      </c>
      <c r="C5" s="67" t="n">
        <v>492</v>
      </c>
      <c r="D5" s="67" t="n">
        <v>0</v>
      </c>
      <c r="E5" s="68"/>
      <c r="F5" s="67" t="s">
        <v>53</v>
      </c>
      <c r="G5" s="68" t="n">
        <v>138</v>
      </c>
      <c r="H5" s="67" t="n">
        <v>0</v>
      </c>
      <c r="I5" s="68"/>
      <c r="J5" s="70"/>
    </row>
    <row r="6" customFormat="false" ht="72" hidden="false" customHeight="true" outlineLevel="0" collapsed="false">
      <c r="A6" s="66" t="s">
        <v>14</v>
      </c>
      <c r="B6" s="67" t="s">
        <v>54</v>
      </c>
      <c r="C6" s="67" t="n">
        <v>579</v>
      </c>
      <c r="D6" s="67" t="s">
        <v>55</v>
      </c>
      <c r="E6" s="67" t="n">
        <v>579</v>
      </c>
      <c r="F6" s="67" t="s">
        <v>56</v>
      </c>
      <c r="G6" s="67" t="n">
        <v>579</v>
      </c>
      <c r="H6" s="67" t="s">
        <v>55</v>
      </c>
      <c r="I6" s="67" t="n">
        <v>579</v>
      </c>
    </row>
    <row r="7" customFormat="false" ht="42.75" hidden="false" customHeight="true" outlineLevel="0" collapsed="false">
      <c r="A7" s="66" t="s">
        <v>15</v>
      </c>
      <c r="B7" s="67" t="s">
        <v>57</v>
      </c>
      <c r="C7" s="67" t="n">
        <v>129</v>
      </c>
      <c r="D7" s="67" t="s">
        <v>58</v>
      </c>
      <c r="E7" s="68" t="n">
        <v>104</v>
      </c>
      <c r="F7" s="67" t="s">
        <v>59</v>
      </c>
      <c r="G7" s="68" t="n">
        <v>151</v>
      </c>
      <c r="H7" s="67" t="s">
        <v>60</v>
      </c>
      <c r="I7" s="68" t="n">
        <v>219</v>
      </c>
    </row>
    <row r="8" customFormat="false" ht="54" hidden="false" customHeight="true" outlineLevel="0" collapsed="false">
      <c r="A8" s="66" t="s">
        <v>16</v>
      </c>
      <c r="B8" s="67" t="s">
        <v>61</v>
      </c>
      <c r="C8" s="67" t="n">
        <v>315</v>
      </c>
      <c r="D8" s="69" t="s">
        <v>62</v>
      </c>
      <c r="E8" s="68" t="n">
        <v>300</v>
      </c>
      <c r="F8" s="67" t="s">
        <v>63</v>
      </c>
      <c r="G8" s="68" t="n">
        <v>187</v>
      </c>
      <c r="H8" s="69" t="s">
        <v>64</v>
      </c>
      <c r="I8" s="68" t="n">
        <v>310</v>
      </c>
    </row>
    <row r="9" customFormat="false" ht="63" hidden="false" customHeight="true" outlineLevel="0" collapsed="false">
      <c r="A9" s="66" t="s">
        <v>17</v>
      </c>
      <c r="B9" s="69" t="s">
        <v>65</v>
      </c>
      <c r="C9" s="67" t="n">
        <v>458</v>
      </c>
      <c r="D9" s="69" t="s">
        <v>66</v>
      </c>
      <c r="E9" s="68" t="n">
        <v>442</v>
      </c>
      <c r="F9" s="69" t="s">
        <v>67</v>
      </c>
      <c r="G9" s="68" t="n">
        <v>395</v>
      </c>
      <c r="H9" s="67" t="s">
        <v>68</v>
      </c>
      <c r="I9" s="68" t="n">
        <v>335</v>
      </c>
    </row>
    <row r="10" customFormat="false" ht="30.75" hidden="false" customHeight="true" outlineLevel="0" collapsed="false">
      <c r="A10" s="66" t="s">
        <v>69</v>
      </c>
      <c r="B10" s="67" t="s">
        <v>60</v>
      </c>
      <c r="C10" s="67" t="n">
        <v>219</v>
      </c>
      <c r="D10" s="67" t="s">
        <v>70</v>
      </c>
      <c r="E10" s="68" t="n">
        <v>219</v>
      </c>
      <c r="F10" s="67" t="s">
        <v>71</v>
      </c>
      <c r="G10" s="68" t="n">
        <v>184</v>
      </c>
      <c r="H10" s="67" t="s">
        <v>72</v>
      </c>
      <c r="I10" s="67" t="n">
        <v>178</v>
      </c>
    </row>
    <row r="11" customFormat="false" ht="66" hidden="false" customHeight="true" outlineLevel="0" collapsed="false">
      <c r="A11" s="66" t="s">
        <v>19</v>
      </c>
      <c r="B11" s="69" t="s">
        <v>73</v>
      </c>
      <c r="C11" s="67" t="n">
        <v>300</v>
      </c>
      <c r="D11" s="69" t="s">
        <v>62</v>
      </c>
      <c r="E11" s="68" t="n">
        <v>300</v>
      </c>
      <c r="F11" s="69" t="s">
        <v>74</v>
      </c>
      <c r="G11" s="67" t="n">
        <v>300</v>
      </c>
      <c r="H11" s="69" t="s">
        <v>75</v>
      </c>
      <c r="I11" s="68" t="n">
        <v>300</v>
      </c>
    </row>
    <row r="12" customFormat="false" ht="31.5" hidden="false" customHeight="true" outlineLevel="0" collapsed="false">
      <c r="A12" s="66" t="s">
        <v>20</v>
      </c>
      <c r="B12" s="67" t="s">
        <v>76</v>
      </c>
      <c r="C12" s="67" t="n">
        <v>137</v>
      </c>
      <c r="D12" s="67" t="s">
        <v>77</v>
      </c>
      <c r="E12" s="68" t="n">
        <v>113</v>
      </c>
      <c r="F12" s="67" t="s">
        <v>76</v>
      </c>
      <c r="G12" s="68" t="n">
        <v>137</v>
      </c>
      <c r="H12" s="67" t="n">
        <v>0</v>
      </c>
      <c r="I12" s="68"/>
    </row>
    <row r="13" customFormat="false" ht="46.25" hidden="false" customHeight="false" outlineLevel="0" collapsed="false">
      <c r="A13" s="66" t="s">
        <v>21</v>
      </c>
      <c r="B13" s="67" t="s">
        <v>60</v>
      </c>
      <c r="C13" s="67" t="n">
        <v>219</v>
      </c>
      <c r="D13" s="69" t="s">
        <v>78</v>
      </c>
      <c r="E13" s="68" t="n">
        <v>310</v>
      </c>
      <c r="F13" s="67" t="s">
        <v>79</v>
      </c>
      <c r="G13" s="68" t="n">
        <v>219</v>
      </c>
      <c r="H13" s="67" t="s">
        <v>80</v>
      </c>
      <c r="I13" s="68" t="n">
        <v>348</v>
      </c>
    </row>
    <row r="14" customFormat="false" ht="38.25" hidden="false" customHeight="true" outlineLevel="0" collapsed="false">
      <c r="A14" s="66" t="s">
        <v>22</v>
      </c>
      <c r="B14" s="67" t="s">
        <v>81</v>
      </c>
      <c r="C14" s="67" t="n">
        <v>224</v>
      </c>
      <c r="D14" s="67" t="n">
        <v>0</v>
      </c>
      <c r="E14" s="68"/>
      <c r="F14" s="67" t="s">
        <v>82</v>
      </c>
      <c r="G14" s="68" t="n">
        <v>245</v>
      </c>
      <c r="H14" s="67" t="n">
        <v>0</v>
      </c>
      <c r="I14" s="68"/>
    </row>
    <row r="15" customFormat="false" ht="54" hidden="false" customHeight="true" outlineLevel="0" collapsed="false">
      <c r="A15" s="66" t="s">
        <v>23</v>
      </c>
      <c r="B15" s="69" t="s">
        <v>73</v>
      </c>
      <c r="C15" s="67" t="n">
        <v>300</v>
      </c>
      <c r="D15" s="69" t="s">
        <v>62</v>
      </c>
      <c r="E15" s="68" t="n">
        <v>300</v>
      </c>
      <c r="F15" s="69" t="s">
        <v>74</v>
      </c>
      <c r="G15" s="67" t="n">
        <v>300</v>
      </c>
      <c r="H15" s="69" t="s">
        <v>75</v>
      </c>
      <c r="I15" s="68" t="n">
        <v>300</v>
      </c>
    </row>
    <row r="16" customFormat="false" ht="50.25" hidden="false" customHeight="true" outlineLevel="0" collapsed="false">
      <c r="A16" s="71" t="s">
        <v>83</v>
      </c>
      <c r="B16" s="71"/>
      <c r="C16" s="72" t="n">
        <f aca="false">SUM(C4:C15)</f>
        <v>3509</v>
      </c>
      <c r="D16" s="73"/>
      <c r="E16" s="72" t="n">
        <f aca="false">SUM(E4:E15)</f>
        <v>2816</v>
      </c>
      <c r="F16" s="73"/>
      <c r="G16" s="72" t="n">
        <f aca="false">SUM(G4:G15)</f>
        <v>2989</v>
      </c>
      <c r="H16" s="73"/>
      <c r="I16" s="72" t="n">
        <f aca="false">SUM(I4:I15)</f>
        <v>2718</v>
      </c>
    </row>
    <row r="17" customFormat="false" ht="12.75" hidden="false" customHeight="false" outlineLevel="0" collapsed="false">
      <c r="C17" s="74"/>
    </row>
    <row r="18" customFormat="false" ht="12.75" hidden="false" customHeight="false" outlineLevel="0" collapsed="false">
      <c r="A18" s="75" t="s">
        <v>24</v>
      </c>
      <c r="C18" s="76" t="n">
        <v>450</v>
      </c>
      <c r="E18" s="76" t="n">
        <v>450</v>
      </c>
      <c r="G18" s="76" t="n">
        <v>450</v>
      </c>
      <c r="I18" s="76" t="n">
        <v>450</v>
      </c>
    </row>
    <row r="19" customFormat="false" ht="12.75" hidden="false" customHeight="false" outlineLevel="0" collapsed="false">
      <c r="A19" s="77"/>
      <c r="C19" s="57"/>
      <c r="D19" s="78"/>
      <c r="E19" s="78"/>
      <c r="F19" s="78"/>
      <c r="G19" s="79"/>
      <c r="I19" s="79"/>
    </row>
    <row r="20" customFormat="false" ht="23.85" hidden="false" customHeight="false" outlineLevel="0" collapsed="false">
      <c r="A20" s="80" t="s">
        <v>84</v>
      </c>
      <c r="C20" s="81"/>
      <c r="D20" s="78"/>
      <c r="E20" s="82"/>
      <c r="F20" s="78"/>
      <c r="G20" s="81"/>
      <c r="I20" s="83"/>
    </row>
    <row r="21" customFormat="false" ht="12.75" hidden="false" customHeight="false" outlineLevel="0" collapsed="false">
      <c r="D21" s="78"/>
      <c r="E21" s="84"/>
      <c r="F21" s="78"/>
    </row>
    <row r="22" customFormat="false" ht="19.7" hidden="false" customHeight="false" outlineLevel="0" collapsed="false">
      <c r="A22" s="85" t="s">
        <v>85</v>
      </c>
      <c r="B22" s="86"/>
      <c r="C22" s="87" t="n">
        <f aca="false">SUM(C16,C18)</f>
        <v>3959</v>
      </c>
      <c r="D22" s="86"/>
      <c r="E22" s="87" t="n">
        <f aca="false">SUM(E16,E18)</f>
        <v>3266</v>
      </c>
      <c r="F22" s="86"/>
      <c r="G22" s="87" t="n">
        <f aca="false">SUM(G16,G18)</f>
        <v>3439</v>
      </c>
      <c r="H22" s="86"/>
      <c r="I22" s="87" t="n">
        <f aca="false">SUM(I16,I18)</f>
        <v>3168</v>
      </c>
      <c r="J22" s="88"/>
    </row>
  </sheetData>
  <mergeCells count="1">
    <mergeCell ref="A16:B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9.43"/>
    <col collapsed="false" customWidth="true" hidden="false" outlineLevel="0" max="3" min="3" style="0" width="10.43"/>
    <col collapsed="false" customWidth="true" hidden="false" outlineLevel="0" max="5" min="5" style="0" width="11.43"/>
    <col collapsed="false" customWidth="true" hidden="false" outlineLevel="0" max="6" min="6" style="89" width="9.14"/>
    <col collapsed="false" customWidth="true" hidden="false" outlineLevel="0" max="7" min="7" style="0" width="11.86"/>
    <col collapsed="false" customWidth="true" hidden="false" outlineLevel="0" max="8" min="8" style="89" width="9.14"/>
    <col collapsed="false" customWidth="true" hidden="false" outlineLevel="0" max="9" min="9" style="0" width="11"/>
    <col collapsed="false" customWidth="true" hidden="false" outlineLevel="0" max="11" min="11" style="0" width="11.43"/>
    <col collapsed="false" customWidth="true" hidden="false" outlineLevel="0" max="13" min="13" style="0" width="11.15"/>
  </cols>
  <sheetData>
    <row r="1" customFormat="false" ht="22.35" hidden="false" customHeight="false" outlineLevel="0" collapsed="false">
      <c r="A1" s="7"/>
      <c r="B1" s="90"/>
      <c r="C1" s="91" t="s">
        <v>86</v>
      </c>
      <c r="D1" s="92" t="s">
        <v>87</v>
      </c>
      <c r="E1" s="91" t="s">
        <v>86</v>
      </c>
      <c r="F1" s="93" t="s">
        <v>87</v>
      </c>
      <c r="G1" s="91" t="s">
        <v>86</v>
      </c>
      <c r="H1" s="93" t="s">
        <v>87</v>
      </c>
      <c r="I1" s="91" t="s">
        <v>86</v>
      </c>
      <c r="J1" s="92" t="s">
        <v>87</v>
      </c>
      <c r="K1" s="91" t="s">
        <v>86</v>
      </c>
      <c r="L1" s="92" t="s">
        <v>87</v>
      </c>
      <c r="M1" s="91" t="s">
        <v>86</v>
      </c>
      <c r="N1" s="92" t="s">
        <v>87</v>
      </c>
    </row>
    <row r="2" customFormat="false" ht="15" hidden="false" customHeight="false" outlineLevel="0" collapsed="false">
      <c r="A2" s="7" t="n">
        <v>1</v>
      </c>
      <c r="B2" s="94" t="s">
        <v>12</v>
      </c>
      <c r="C2" s="95"/>
      <c r="D2" s="96"/>
      <c r="E2" s="95"/>
      <c r="F2" s="96"/>
      <c r="G2" s="95"/>
      <c r="H2" s="96"/>
      <c r="I2" s="95"/>
      <c r="J2" s="96"/>
      <c r="K2" s="95"/>
      <c r="L2" s="96"/>
      <c r="M2" s="95"/>
      <c r="N2" s="96"/>
    </row>
    <row r="3" customFormat="false" ht="15" hidden="false" customHeight="false" outlineLevel="0" collapsed="false">
      <c r="A3" s="7" t="n">
        <v>2</v>
      </c>
      <c r="B3" s="94" t="s">
        <v>13</v>
      </c>
      <c r="C3" s="97"/>
      <c r="D3" s="98"/>
      <c r="E3" s="97"/>
      <c r="F3" s="98"/>
      <c r="G3" s="97"/>
      <c r="H3" s="98"/>
      <c r="I3" s="97"/>
      <c r="J3" s="98"/>
      <c r="K3" s="97"/>
      <c r="L3" s="98"/>
      <c r="M3" s="97"/>
      <c r="N3" s="98"/>
    </row>
    <row r="4" customFormat="false" ht="15" hidden="false" customHeight="false" outlineLevel="0" collapsed="false">
      <c r="A4" s="7" t="n">
        <v>3</v>
      </c>
      <c r="B4" s="94" t="s">
        <v>14</v>
      </c>
      <c r="C4" s="99" t="n">
        <v>2500</v>
      </c>
      <c r="D4" s="100" t="n">
        <v>46034</v>
      </c>
      <c r="E4" s="99"/>
      <c r="F4" s="100"/>
      <c r="G4" s="99"/>
      <c r="H4" s="100"/>
      <c r="I4" s="99"/>
      <c r="J4" s="98"/>
      <c r="K4" s="97"/>
      <c r="L4" s="98"/>
      <c r="M4" s="97"/>
      <c r="N4" s="98"/>
    </row>
    <row r="5" customFormat="false" ht="15" hidden="false" customHeight="false" outlineLevel="0" collapsed="false">
      <c r="A5" s="7" t="n">
        <v>4</v>
      </c>
      <c r="B5" s="94" t="s">
        <v>15</v>
      </c>
      <c r="C5" s="99"/>
      <c r="D5" s="100"/>
      <c r="E5" s="97"/>
      <c r="F5" s="98"/>
      <c r="G5" s="99"/>
      <c r="H5" s="100"/>
      <c r="I5" s="99"/>
      <c r="J5" s="98"/>
      <c r="K5" s="97"/>
      <c r="L5" s="98"/>
      <c r="M5" s="97"/>
      <c r="N5" s="98"/>
    </row>
    <row r="6" customFormat="false" ht="15" hidden="false" customHeight="false" outlineLevel="0" collapsed="false">
      <c r="A6" s="7" t="n">
        <v>5</v>
      </c>
      <c r="B6" s="94" t="s">
        <v>16</v>
      </c>
      <c r="C6" s="99" t="n">
        <v>2500</v>
      </c>
      <c r="D6" s="100" t="n">
        <v>46034</v>
      </c>
      <c r="E6" s="99"/>
      <c r="F6" s="100"/>
      <c r="G6" s="97"/>
      <c r="H6" s="98"/>
      <c r="I6" s="97"/>
      <c r="J6" s="98"/>
      <c r="K6" s="97"/>
      <c r="L6" s="98"/>
      <c r="M6" s="97"/>
      <c r="N6" s="98"/>
    </row>
    <row r="7" customFormat="false" ht="15" hidden="false" customHeight="false" outlineLevel="0" collapsed="false">
      <c r="A7" s="7" t="n">
        <v>6</v>
      </c>
      <c r="B7" s="94" t="s">
        <v>17</v>
      </c>
      <c r="C7" s="99" t="n">
        <v>2923</v>
      </c>
      <c r="D7" s="100" t="n">
        <v>46050</v>
      </c>
      <c r="E7" s="99"/>
      <c r="F7" s="100"/>
      <c r="G7" s="97"/>
      <c r="H7" s="98"/>
      <c r="I7" s="97"/>
      <c r="J7" s="98"/>
      <c r="K7" s="97"/>
      <c r="L7" s="98"/>
      <c r="M7" s="97"/>
      <c r="N7" s="98"/>
    </row>
    <row r="8" customFormat="false" ht="15" hidden="false" customHeight="false" outlineLevel="0" collapsed="false">
      <c r="A8" s="7" t="n">
        <v>7</v>
      </c>
      <c r="B8" s="94" t="s">
        <v>18</v>
      </c>
      <c r="C8" s="97"/>
      <c r="D8" s="101"/>
      <c r="E8" s="99"/>
      <c r="F8" s="100"/>
      <c r="G8" s="97"/>
      <c r="H8" s="98"/>
      <c r="I8" s="97"/>
      <c r="J8" s="98"/>
      <c r="K8" s="97"/>
      <c r="L8" s="101"/>
      <c r="M8" s="97"/>
      <c r="N8" s="101"/>
    </row>
    <row r="9" customFormat="false" ht="15" hidden="false" customHeight="false" outlineLevel="0" collapsed="false">
      <c r="A9" s="7" t="n">
        <v>8</v>
      </c>
      <c r="B9" s="94" t="s">
        <v>19</v>
      </c>
      <c r="C9" s="99" t="n">
        <v>440</v>
      </c>
      <c r="D9" s="100" t="n">
        <v>46038</v>
      </c>
      <c r="E9" s="99" t="n">
        <v>2908</v>
      </c>
      <c r="F9" s="100" t="n">
        <v>46050</v>
      </c>
      <c r="G9" s="99"/>
      <c r="H9" s="98"/>
      <c r="I9" s="97"/>
      <c r="J9" s="98"/>
      <c r="K9" s="97"/>
      <c r="L9" s="98"/>
      <c r="M9" s="97"/>
      <c r="N9" s="98"/>
    </row>
    <row r="10" customFormat="false" ht="15" hidden="false" customHeight="false" outlineLevel="0" collapsed="false">
      <c r="A10" s="7" t="n">
        <v>9</v>
      </c>
      <c r="B10" s="94" t="s">
        <v>20</v>
      </c>
      <c r="C10" s="99"/>
      <c r="D10" s="100"/>
      <c r="E10" s="99"/>
      <c r="F10" s="100"/>
      <c r="G10" s="97"/>
      <c r="H10" s="98"/>
      <c r="I10" s="97"/>
      <c r="J10" s="98"/>
      <c r="K10" s="97"/>
      <c r="L10" s="98"/>
      <c r="M10" s="97"/>
      <c r="N10" s="98"/>
    </row>
    <row r="11" customFormat="false" ht="15" hidden="false" customHeight="false" outlineLevel="0" collapsed="false">
      <c r="A11" s="7" t="n">
        <v>10</v>
      </c>
      <c r="B11" s="94" t="s">
        <v>21</v>
      </c>
      <c r="C11" s="99" t="n">
        <v>500</v>
      </c>
      <c r="D11" s="100" t="n">
        <v>46043</v>
      </c>
      <c r="E11" s="99" t="n">
        <v>2000</v>
      </c>
      <c r="F11" s="100" t="n">
        <v>46050</v>
      </c>
      <c r="G11" s="97"/>
      <c r="H11" s="98"/>
      <c r="I11" s="97"/>
      <c r="J11" s="98"/>
      <c r="K11" s="97"/>
      <c r="L11" s="98"/>
      <c r="M11" s="97"/>
      <c r="N11" s="98"/>
    </row>
    <row r="12" customFormat="false" ht="15" hidden="false" customHeight="false" outlineLevel="0" collapsed="false">
      <c r="A12" s="7" t="n">
        <v>11</v>
      </c>
      <c r="B12" s="94" t="s">
        <v>22</v>
      </c>
      <c r="C12" s="99"/>
      <c r="D12" s="100"/>
      <c r="E12" s="99"/>
      <c r="F12" s="100"/>
      <c r="G12" s="97"/>
      <c r="H12" s="98"/>
      <c r="I12" s="97"/>
      <c r="J12" s="98"/>
      <c r="K12" s="97"/>
      <c r="L12" s="98"/>
      <c r="M12" s="97"/>
      <c r="N12" s="98"/>
    </row>
    <row r="13" customFormat="false" ht="15" hidden="false" customHeight="false" outlineLevel="0" collapsed="false">
      <c r="A13" s="7" t="n">
        <v>12</v>
      </c>
      <c r="B13" s="94" t="s">
        <v>23</v>
      </c>
      <c r="C13" s="99"/>
      <c r="D13" s="100"/>
      <c r="E13" s="99"/>
      <c r="F13" s="100"/>
      <c r="G13" s="97"/>
      <c r="H13" s="98"/>
      <c r="I13" s="97"/>
      <c r="J13" s="98"/>
      <c r="K13" s="97"/>
      <c r="L13" s="98"/>
      <c r="M13" s="97"/>
      <c r="N13" s="98"/>
    </row>
    <row r="14" customFormat="false" ht="15" hidden="false" customHeight="false" outlineLevel="0" collapsed="false">
      <c r="A14" s="7"/>
      <c r="B14" s="102" t="s">
        <v>88</v>
      </c>
      <c r="C14" s="103" t="n">
        <v>12000</v>
      </c>
      <c r="D14" s="104" t="n">
        <v>46034</v>
      </c>
      <c r="E14" s="103" t="n">
        <v>10000</v>
      </c>
      <c r="F14" s="104" t="n">
        <v>46038</v>
      </c>
      <c r="G14" s="103" t="n">
        <v>14000</v>
      </c>
      <c r="H14" s="104" t="n">
        <v>46045</v>
      </c>
      <c r="I14" s="103"/>
      <c r="J14" s="104"/>
      <c r="K14" s="105"/>
      <c r="L14" s="106"/>
      <c r="M14" s="105"/>
      <c r="N14" s="10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Жеребцова Ольга</dc:creator>
  <dc:description/>
  <dc:language>ru-RU</dc:language>
  <cp:lastModifiedBy>Киселев Виктор Андреевич</cp:lastModifiedBy>
  <cp:lastPrinted>2026-01-29T12:57:25Z</cp:lastPrinted>
  <dcterms:modified xsi:type="dcterms:W3CDTF">2026-02-25T16:36:48Z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